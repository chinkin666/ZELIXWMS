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E9881BE5-ED85-447C-AAC0-833E62C37E8F}" xr6:coauthVersionLast="47" xr6:coauthVersionMax="47" xr10:uidLastSave="{00000000-0000-0000-0000-000000000000}"/>
  <bookViews>
    <workbookView xWindow="28680" yWindow="-120" windowWidth="51840" windowHeight="21240" xr2:uid="{00000000-000D-0000-FFFF-FFFF00000000}"/>
  </bookViews>
  <sheets>
    <sheet name="UI" sheetId="1" r:id="rId1"/>
    <sheet name="商品別在庫差異リスト" sheetId="5" r:id="rId2"/>
    <sheet name="棚卸指示書" sheetId="3" r:id="rId3"/>
    <sheet name="商品サンプル" sheetId="4" r:id="rId4"/>
    <sheet name="棚卸指示ダウンロード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H7" i="4"/>
  <c r="H8" i="4"/>
  <c r="F6" i="4"/>
  <c r="F7" i="4"/>
  <c r="F8" i="4"/>
  <c r="E6" i="4"/>
  <c r="E7" i="4"/>
  <c r="E8" i="4"/>
  <c r="E5" i="4"/>
  <c r="F5" i="4" s="1"/>
  <c r="H5" i="4" s="1"/>
</calcChain>
</file>

<file path=xl/sharedStrings.xml><?xml version="1.0" encoding="utf-8"?>
<sst xmlns="http://schemas.openxmlformats.org/spreadsheetml/2006/main" count="603" uniqueCount="282">
  <si>
    <t>棚卸指示入力</t>
    <rPh sb="0" eb="2">
      <t>タナオロシ</t>
    </rPh>
    <rPh sb="2" eb="4">
      <t>シジ</t>
    </rPh>
    <rPh sb="4" eb="6">
      <t>ニュウリョク</t>
    </rPh>
    <phoneticPr fontId="2"/>
  </si>
  <si>
    <t>棚卸指示書出力</t>
    <rPh sb="0" eb="4">
      <t>タナオロシシジ</t>
    </rPh>
    <rPh sb="4" eb="5">
      <t>ショ</t>
    </rPh>
    <rPh sb="5" eb="7">
      <t>シュツリョク</t>
    </rPh>
    <phoneticPr fontId="2"/>
  </si>
  <si>
    <t>棚卸入力</t>
    <rPh sb="0" eb="2">
      <t>タナオロシ</t>
    </rPh>
    <rPh sb="2" eb="4">
      <t>ニュウリョク</t>
    </rPh>
    <phoneticPr fontId="2"/>
  </si>
  <si>
    <t>※注意：非表示セルに更新キーが含まれます。ダウンロードされた行をコピーして使用しないで下さい。</t>
    <phoneticPr fontId="3"/>
  </si>
  <si>
    <t>棚卸区分</t>
    <phoneticPr fontId="3"/>
  </si>
  <si>
    <t>全棚</t>
    <phoneticPr fontId="3"/>
  </si>
  <si>
    <t>棚卸指示番号</t>
    <rPh sb="0" eb="2">
      <t>タナオロシ</t>
    </rPh>
    <rPh sb="2" eb="4">
      <t>シジ</t>
    </rPh>
    <rPh sb="4" eb="6">
      <t>バンゴウ</t>
    </rPh>
    <phoneticPr fontId="6"/>
  </si>
  <si>
    <t>2504240001</t>
    <phoneticPr fontId="3"/>
  </si>
  <si>
    <t>タイトル</t>
    <phoneticPr fontId="3"/>
  </si>
  <si>
    <t>テスト棚卸</t>
    <phoneticPr fontId="3"/>
  </si>
  <si>
    <t>棚No.</t>
    <phoneticPr fontId="3"/>
  </si>
  <si>
    <t>000001 - ZZZZZZ</t>
    <phoneticPr fontId="3"/>
  </si>
  <si>
    <t>Seq</t>
    <phoneticPr fontId="6"/>
  </si>
  <si>
    <t>棚卸回数</t>
    <phoneticPr fontId="3"/>
  </si>
  <si>
    <t>倉庫コード</t>
    <phoneticPr fontId="3"/>
  </si>
  <si>
    <t>商品名</t>
    <phoneticPr fontId="3"/>
  </si>
  <si>
    <t>有効期限</t>
    <phoneticPr fontId="3"/>
  </si>
  <si>
    <t>有効期限（入力）</t>
    <phoneticPr fontId="3"/>
  </si>
  <si>
    <t>シリアルNo</t>
    <phoneticPr fontId="3"/>
  </si>
  <si>
    <t>実在数</t>
    <phoneticPr fontId="3"/>
  </si>
  <si>
    <t>000001</t>
    <phoneticPr fontId="3"/>
  </si>
  <si>
    <t>4895252500301</t>
    <phoneticPr fontId="3"/>
  </si>
  <si>
    <t xml:space="preserve">4895252500301 </t>
    <phoneticPr fontId="3"/>
  </si>
  <si>
    <t/>
  </si>
  <si>
    <t>4897098683880</t>
    <phoneticPr fontId="3"/>
  </si>
  <si>
    <t xml:space="preserve">4897098683880 </t>
    <phoneticPr fontId="3"/>
  </si>
  <si>
    <t>4897098689004</t>
    <phoneticPr fontId="3"/>
  </si>
  <si>
    <t xml:space="preserve">4897098689004 </t>
    <phoneticPr fontId="3"/>
  </si>
  <si>
    <t>6935364001049</t>
    <phoneticPr fontId="3"/>
  </si>
  <si>
    <t xml:space="preserve">6935364001049 </t>
    <phoneticPr fontId="3"/>
  </si>
  <si>
    <t>6935364010522</t>
    <phoneticPr fontId="3"/>
  </si>
  <si>
    <t>8885020620115</t>
    <phoneticPr fontId="3"/>
  </si>
  <si>
    <t xml:space="preserve">8885020620115 </t>
    <phoneticPr fontId="3"/>
  </si>
  <si>
    <t>8885020624656</t>
    <phoneticPr fontId="3"/>
  </si>
  <si>
    <t xml:space="preserve">8885020624656 </t>
    <phoneticPr fontId="3"/>
  </si>
  <si>
    <t>8885020625028</t>
    <phoneticPr fontId="3"/>
  </si>
  <si>
    <t xml:space="preserve">8885020625028 </t>
    <phoneticPr fontId="3"/>
  </si>
  <si>
    <t>6935364099664</t>
    <phoneticPr fontId="3"/>
  </si>
  <si>
    <t>ZZZZZZ</t>
    <phoneticPr fontId="3"/>
  </si>
  <si>
    <t>棚卸差異リスト出力</t>
    <rPh sb="0" eb="2">
      <t>タナオロシ</t>
    </rPh>
    <rPh sb="2" eb="4">
      <t>サイ</t>
    </rPh>
    <rPh sb="7" eb="9">
      <t>シュツリョク</t>
    </rPh>
    <phoneticPr fontId="2"/>
  </si>
  <si>
    <t>棚卸進捗確認</t>
    <rPh sb="0" eb="2">
      <t>タナオロシ</t>
    </rPh>
    <rPh sb="2" eb="4">
      <t>シンチョク</t>
    </rPh>
    <rPh sb="4" eb="6">
      <t>カクニン</t>
    </rPh>
    <phoneticPr fontId="2"/>
  </si>
  <si>
    <t>棚卸確定入力</t>
    <rPh sb="0" eb="2">
      <t>タナオロシ</t>
    </rPh>
    <rPh sb="2" eb="4">
      <t>カクテイ</t>
    </rPh>
    <rPh sb="4" eb="6">
      <t>ニュウリョク</t>
    </rPh>
    <phoneticPr fontId="2"/>
  </si>
  <si>
    <t>顧客ID</t>
    <rPh sb="0" eb="2">
      <t>コキャク</t>
    </rPh>
    <phoneticPr fontId="2"/>
  </si>
  <si>
    <t>顧客名称</t>
    <rPh sb="0" eb="2">
      <t>コキャク</t>
    </rPh>
    <rPh sb="2" eb="4">
      <t>メイショウ</t>
    </rPh>
    <phoneticPr fontId="2"/>
  </si>
  <si>
    <t>棚卸区分</t>
    <rPh sb="0" eb="2">
      <t>タナオロシ</t>
    </rPh>
    <rPh sb="2" eb="4">
      <t>クブン</t>
    </rPh>
    <phoneticPr fontId="2"/>
  </si>
  <si>
    <t>全て</t>
    <rPh sb="0" eb="1">
      <t>スベ</t>
    </rPh>
    <phoneticPr fontId="2"/>
  </si>
  <si>
    <t>▼</t>
    <phoneticPr fontId="2"/>
  </si>
  <si>
    <t>倉庫拠点</t>
    <rPh sb="0" eb="2">
      <t>ソウコ</t>
    </rPh>
    <rPh sb="2" eb="4">
      <t>キョテン</t>
    </rPh>
    <phoneticPr fontId="2"/>
  </si>
  <si>
    <t>横浜倉庫</t>
    <rPh sb="0" eb="2">
      <t>ヨコハマ</t>
    </rPh>
    <rPh sb="2" eb="4">
      <t>ソウコ</t>
    </rPh>
    <phoneticPr fontId="2"/>
  </si>
  <si>
    <t>棚卸指示番号</t>
    <rPh sb="0" eb="2">
      <t>タナオロシ</t>
    </rPh>
    <rPh sb="2" eb="4">
      <t>シジ</t>
    </rPh>
    <rPh sb="4" eb="6">
      <t>バンゴウ</t>
    </rPh>
    <phoneticPr fontId="2"/>
  </si>
  <si>
    <t>タイトル名称</t>
    <rPh sb="4" eb="6">
      <t>メイショウ</t>
    </rPh>
    <phoneticPr fontId="2"/>
  </si>
  <si>
    <t>棚番号</t>
    <rPh sb="0" eb="1">
      <t>タナ</t>
    </rPh>
    <rPh sb="1" eb="3">
      <t>バンゴウ</t>
    </rPh>
    <phoneticPr fontId="2"/>
  </si>
  <si>
    <t>🔍</t>
    <phoneticPr fontId="2"/>
  </si>
  <si>
    <t>&gt;&gt;</t>
    <phoneticPr fontId="2"/>
  </si>
  <si>
    <t>顧客商品コード</t>
    <rPh sb="0" eb="2">
      <t>コキャク</t>
    </rPh>
    <rPh sb="2" eb="4">
      <t>ショウヒン</t>
    </rPh>
    <phoneticPr fontId="2"/>
  </si>
  <si>
    <t>検品コード</t>
    <rPh sb="0" eb="2">
      <t>ケンピン</t>
    </rPh>
    <phoneticPr fontId="2"/>
  </si>
  <si>
    <t>指示日</t>
    <rPh sb="0" eb="3">
      <t>シジビ</t>
    </rPh>
    <phoneticPr fontId="2"/>
  </si>
  <si>
    <t>カレンダー選択</t>
    <rPh sb="5" eb="7">
      <t>センタク</t>
    </rPh>
    <phoneticPr fontId="2"/>
  </si>
  <si>
    <t>ステータス</t>
    <phoneticPr fontId="2"/>
  </si>
  <si>
    <t>検索</t>
    <rPh sb="0" eb="2">
      <t>ケンサク</t>
    </rPh>
    <phoneticPr fontId="2"/>
  </si>
  <si>
    <t>リセット</t>
    <phoneticPr fontId="2"/>
  </si>
  <si>
    <t>新規</t>
    <rPh sb="0" eb="2">
      <t>シンキ</t>
    </rPh>
    <phoneticPr fontId="2"/>
  </si>
  <si>
    <t>戻る</t>
    <rPh sb="0" eb="1">
      <t>モド</t>
    </rPh>
    <phoneticPr fontId="2"/>
  </si>
  <si>
    <t>＊</t>
    <phoneticPr fontId="2"/>
  </si>
  <si>
    <t>20250506001（2200件）</t>
    <rPh sb="16" eb="17">
      <t>ケン</t>
    </rPh>
    <phoneticPr fontId="2"/>
  </si>
  <si>
    <t>改ページ（棚番号）</t>
    <rPh sb="0" eb="1">
      <t>カイ</t>
    </rPh>
    <rPh sb="5" eb="8">
      <t>タナバンゴウ</t>
    </rPh>
    <phoneticPr fontId="2"/>
  </si>
  <si>
    <t>桁目で改ページ</t>
    <rPh sb="0" eb="2">
      <t>ケタメ</t>
    </rPh>
    <rPh sb="3" eb="4">
      <t>カイ</t>
    </rPh>
    <phoneticPr fontId="2"/>
  </si>
  <si>
    <t>出力対象範囲</t>
    <rPh sb="0" eb="2">
      <t>シュツリョク</t>
    </rPh>
    <rPh sb="2" eb="4">
      <t>タイショウ</t>
    </rPh>
    <rPh sb="4" eb="6">
      <t>ハンイ</t>
    </rPh>
    <phoneticPr fontId="2"/>
  </si>
  <si>
    <t>行目から</t>
    <rPh sb="0" eb="2">
      <t>ギョウメ</t>
    </rPh>
    <phoneticPr fontId="2"/>
  </si>
  <si>
    <t>行分出力</t>
    <rPh sb="0" eb="1">
      <t>ギョウ</t>
    </rPh>
    <rPh sb="1" eb="2">
      <t>ブン</t>
    </rPh>
    <rPh sb="2" eb="4">
      <t>シュツリョク</t>
    </rPh>
    <phoneticPr fontId="2"/>
  </si>
  <si>
    <t>印刷帳票</t>
    <rPh sb="0" eb="2">
      <t>インサツ</t>
    </rPh>
    <rPh sb="2" eb="4">
      <t>チョウヒョウ</t>
    </rPh>
    <phoneticPr fontId="2"/>
  </si>
  <si>
    <t>棚卸指示書</t>
    <rPh sb="0" eb="2">
      <t>タナオロシ</t>
    </rPh>
    <rPh sb="2" eb="5">
      <t>シジショ</t>
    </rPh>
    <phoneticPr fontId="2"/>
  </si>
  <si>
    <t>印刷</t>
    <rPh sb="0" eb="2">
      <t>インサツ</t>
    </rPh>
    <phoneticPr fontId="2"/>
  </si>
  <si>
    <t>棚卸指示書</t>
    <rPh sb="0" eb="5">
      <t>タナオロシシジショ</t>
    </rPh>
    <phoneticPr fontId="2"/>
  </si>
  <si>
    <t>出力日時</t>
    <rPh sb="0" eb="2">
      <t>シュツリョク</t>
    </rPh>
    <rPh sb="2" eb="4">
      <t>ニチジ</t>
    </rPh>
    <phoneticPr fontId="2"/>
  </si>
  <si>
    <t>YYYY/MM/DD 15:34:01</t>
    <phoneticPr fontId="2"/>
  </si>
  <si>
    <t>ページ</t>
    <phoneticPr fontId="2"/>
  </si>
  <si>
    <t>1/34</t>
    <phoneticPr fontId="2"/>
  </si>
  <si>
    <t>顧客ID</t>
    <rPh sb="0" eb="2">
      <t>コキャク</t>
    </rPh>
    <phoneticPr fontId="2"/>
  </si>
  <si>
    <t>顧客名称</t>
    <rPh sb="0" eb="2">
      <t>コキャク</t>
    </rPh>
    <rPh sb="2" eb="4">
      <t>メイショウ</t>
    </rPh>
    <phoneticPr fontId="2"/>
  </si>
  <si>
    <t>棚卸指示番号</t>
    <rPh sb="0" eb="2">
      <t>タナオロシ</t>
    </rPh>
    <rPh sb="2" eb="4">
      <t>シジ</t>
    </rPh>
    <rPh sb="4" eb="6">
      <t>バンゴウ</t>
    </rPh>
    <phoneticPr fontId="2"/>
  </si>
  <si>
    <t>タイトル</t>
    <phoneticPr fontId="2"/>
  </si>
  <si>
    <t>田中商事_棚卸20250506_1</t>
  </si>
  <si>
    <t>田中商事_棚卸20250506_1</t>
    <rPh sb="0" eb="2">
      <t>タナカ</t>
    </rPh>
    <rPh sb="2" eb="4">
      <t>ショウジ</t>
    </rPh>
    <rPh sb="5" eb="7">
      <t>タナオロシ</t>
    </rPh>
    <phoneticPr fontId="2"/>
  </si>
  <si>
    <t>田中商事</t>
    <rPh sb="0" eb="2">
      <t>タナカ</t>
    </rPh>
    <rPh sb="2" eb="4">
      <t>ショウジ</t>
    </rPh>
    <phoneticPr fontId="2"/>
  </si>
  <si>
    <t>棚卸指示範囲</t>
    <rPh sb="0" eb="2">
      <t>タナオロシ</t>
    </rPh>
    <rPh sb="2" eb="4">
      <t>シジ</t>
    </rPh>
    <rPh sb="4" eb="6">
      <t>ハンイ</t>
    </rPh>
    <phoneticPr fontId="2"/>
  </si>
  <si>
    <t>～</t>
    <phoneticPr fontId="2"/>
  </si>
  <si>
    <t>備考欄</t>
    <rPh sb="0" eb="2">
      <t>ビコウ</t>
    </rPh>
    <rPh sb="2" eb="3">
      <t>ラン</t>
    </rPh>
    <phoneticPr fontId="2"/>
  </si>
  <si>
    <t>確認</t>
    <rPh sb="0" eb="2">
      <t>カクニン</t>
    </rPh>
    <phoneticPr fontId="2"/>
  </si>
  <si>
    <t>承認</t>
    <rPh sb="0" eb="2">
      <t>ショウニン</t>
    </rPh>
    <phoneticPr fontId="2"/>
  </si>
  <si>
    <t>SEQ</t>
    <phoneticPr fontId="2"/>
  </si>
  <si>
    <t>ロケーション</t>
    <phoneticPr fontId="2"/>
  </si>
  <si>
    <t>顧客商品コード</t>
    <rPh sb="0" eb="2">
      <t>コキャク</t>
    </rPh>
    <rPh sb="2" eb="4">
      <t>ショウヒン</t>
    </rPh>
    <phoneticPr fontId="2"/>
  </si>
  <si>
    <t>検品コード</t>
    <rPh sb="0" eb="2">
      <t>ケンピン</t>
    </rPh>
    <phoneticPr fontId="2"/>
  </si>
  <si>
    <t>商品名称</t>
    <rPh sb="0" eb="2">
      <t>ショウヒン</t>
    </rPh>
    <rPh sb="2" eb="4">
      <t>メイショウ</t>
    </rPh>
    <phoneticPr fontId="2"/>
  </si>
  <si>
    <t>倉庫コード</t>
    <rPh sb="0" eb="2">
      <t>ソウコ</t>
    </rPh>
    <phoneticPr fontId="2"/>
  </si>
  <si>
    <t>実棚数</t>
    <rPh sb="0" eb="2">
      <t>ジッタナ</t>
    </rPh>
    <rPh sb="2" eb="3">
      <t>スウ</t>
    </rPh>
    <phoneticPr fontId="2"/>
  </si>
  <si>
    <t>コメント欄</t>
    <rPh sb="4" eb="5">
      <t>ラン</t>
    </rPh>
    <phoneticPr fontId="2"/>
  </si>
  <si>
    <t>Logifast商品コード</t>
    <rPh sb="8" eb="10">
      <t>ショウヒン</t>
    </rPh>
    <phoneticPr fontId="2"/>
  </si>
  <si>
    <t>WMS自動採番</t>
    <rPh sb="3" eb="5">
      <t>ジドウ</t>
    </rPh>
    <rPh sb="5" eb="7">
      <t>サイバン</t>
    </rPh>
    <phoneticPr fontId="2"/>
  </si>
  <si>
    <t>000001</t>
    <phoneticPr fontId="2"/>
  </si>
  <si>
    <t>実物検品</t>
    <rPh sb="0" eb="2">
      <t>ジツブツ</t>
    </rPh>
    <rPh sb="2" eb="4">
      <t>ケンピン</t>
    </rPh>
    <phoneticPr fontId="2"/>
  </si>
  <si>
    <t>販売商品コード</t>
    <rPh sb="0" eb="2">
      <t>ハンバイ</t>
    </rPh>
    <rPh sb="2" eb="4">
      <t>ショウヒン</t>
    </rPh>
    <phoneticPr fontId="2"/>
  </si>
  <si>
    <t>モール側商品コード</t>
    <rPh sb="3" eb="4">
      <t>ガワ</t>
    </rPh>
    <rPh sb="4" eb="6">
      <t>ショウヒン</t>
    </rPh>
    <phoneticPr fontId="2"/>
  </si>
  <si>
    <t>YAHOO12345</t>
    <phoneticPr fontId="2"/>
  </si>
  <si>
    <t>国</t>
    <rPh sb="0" eb="1">
      <t>クニ</t>
    </rPh>
    <phoneticPr fontId="2"/>
  </si>
  <si>
    <t>国コード</t>
    <rPh sb="0" eb="1">
      <t>クニ</t>
    </rPh>
    <phoneticPr fontId="2"/>
  </si>
  <si>
    <t>CN</t>
    <phoneticPr fontId="2"/>
  </si>
  <si>
    <t>英字4桁顧客略語</t>
    <rPh sb="0" eb="2">
      <t>エイジ</t>
    </rPh>
    <rPh sb="3" eb="4">
      <t>ケタ</t>
    </rPh>
    <rPh sb="4" eb="6">
      <t>コキャク</t>
    </rPh>
    <rPh sb="6" eb="8">
      <t>リャクゴ</t>
    </rPh>
    <phoneticPr fontId="2"/>
  </si>
  <si>
    <t>ABCD</t>
    <phoneticPr fontId="2"/>
  </si>
  <si>
    <t>0000</t>
    <phoneticPr fontId="2"/>
  </si>
  <si>
    <t>0001</t>
    <phoneticPr fontId="2"/>
  </si>
  <si>
    <t>本社0000・支社0001</t>
    <rPh sb="0" eb="2">
      <t>ホンシャ</t>
    </rPh>
    <rPh sb="7" eb="9">
      <t>シシャ</t>
    </rPh>
    <phoneticPr fontId="2"/>
  </si>
  <si>
    <t>顧客商品名称</t>
    <rPh sb="0" eb="2">
      <t>コキャク</t>
    </rPh>
    <rPh sb="2" eb="4">
      <t>ショウヒン</t>
    </rPh>
    <rPh sb="4" eb="6">
      <t>メイショウ</t>
    </rPh>
    <phoneticPr fontId="2"/>
  </si>
  <si>
    <t>さくらマスタ赤</t>
    <rPh sb="6" eb="7">
      <t>アカ</t>
    </rPh>
    <phoneticPr fontId="2"/>
  </si>
  <si>
    <t>JP</t>
    <phoneticPr fontId="2"/>
  </si>
  <si>
    <t>XXXY</t>
    <phoneticPr fontId="2"/>
  </si>
  <si>
    <t>000002</t>
  </si>
  <si>
    <t>000003</t>
  </si>
  <si>
    <t>000004</t>
  </si>
  <si>
    <t>さくらマスタ緑</t>
  </si>
  <si>
    <t>さくらマスタ緑</t>
    <rPh sb="6" eb="7">
      <t>ミドリ</t>
    </rPh>
    <phoneticPr fontId="2"/>
  </si>
  <si>
    <t>イヤホンSS</t>
    <phoneticPr fontId="2"/>
  </si>
  <si>
    <t>イヤホンMM</t>
  </si>
  <si>
    <t>イヤホンMM</t>
    <phoneticPr fontId="2"/>
  </si>
  <si>
    <t>RAKU2345</t>
    <phoneticPr fontId="2"/>
  </si>
  <si>
    <t>AMAZON1234</t>
    <phoneticPr fontId="2"/>
  </si>
  <si>
    <t>WOMA3456</t>
    <phoneticPr fontId="2"/>
  </si>
  <si>
    <t>入力</t>
    <rPh sb="0" eb="2">
      <t>ニュウリョク</t>
    </rPh>
    <phoneticPr fontId="2"/>
  </si>
  <si>
    <t>01良品倉庫</t>
  </si>
  <si>
    <t>01良品倉庫</t>
    <rPh sb="2" eb="4">
      <t>リョウヒン</t>
    </rPh>
    <rPh sb="4" eb="6">
      <t>ソウコ</t>
    </rPh>
    <phoneticPr fontId="2"/>
  </si>
  <si>
    <t>02不良品倉庫</t>
  </si>
  <si>
    <t>02不良品倉庫</t>
    <rPh sb="2" eb="5">
      <t>フリョウヒン</t>
    </rPh>
    <rPh sb="5" eb="7">
      <t>ソウコ</t>
    </rPh>
    <phoneticPr fontId="2"/>
  </si>
  <si>
    <t>空欄</t>
    <rPh sb="0" eb="2">
      <t>クウラン</t>
    </rPh>
    <phoneticPr fontId="2"/>
  </si>
  <si>
    <t>検品バーコード</t>
    <rPh sb="0" eb="2">
      <t>ケンピン</t>
    </rPh>
    <phoneticPr fontId="2"/>
  </si>
  <si>
    <t>倉庫拠点</t>
    <rPh sb="0" eb="2">
      <t>ソウコ</t>
    </rPh>
    <rPh sb="2" eb="4">
      <t>キョテン</t>
    </rPh>
    <phoneticPr fontId="2"/>
  </si>
  <si>
    <t>横浜倉庫</t>
    <rPh sb="0" eb="2">
      <t>ヨコハマ</t>
    </rPh>
    <rPh sb="2" eb="4">
      <t>ソウコ</t>
    </rPh>
    <phoneticPr fontId="2"/>
  </si>
  <si>
    <t>＊＊＊＊＊＊＊＊＊</t>
    <phoneticPr fontId="2"/>
  </si>
  <si>
    <t>棚卸指示書シートをご確認ください</t>
    <rPh sb="0" eb="5">
      <t>タナオロシシジショ</t>
    </rPh>
    <rPh sb="10" eb="12">
      <t>カクニン</t>
    </rPh>
    <phoneticPr fontId="2"/>
  </si>
  <si>
    <t>CNABCD0000000001</t>
  </si>
  <si>
    <t>CNABCD0001000002</t>
  </si>
  <si>
    <t>JPXXXY0000</t>
  </si>
  <si>
    <t>JPXXXY0000000003</t>
  </si>
  <si>
    <t>JPXXXY0000000004</t>
  </si>
  <si>
    <t>表示件数</t>
    <rPh sb="0" eb="2">
      <t>ヒョウジ</t>
    </rPh>
    <rPh sb="2" eb="4">
      <t>ケンスウ</t>
    </rPh>
    <phoneticPr fontId="2"/>
  </si>
  <si>
    <t>20件</t>
    <rPh sb="2" eb="3">
      <t>ケン</t>
    </rPh>
    <phoneticPr fontId="2"/>
  </si>
  <si>
    <t>3000件</t>
    <rPh sb="4" eb="5">
      <t>ケン</t>
    </rPh>
    <phoneticPr fontId="2"/>
  </si>
  <si>
    <t>SEQ</t>
    <phoneticPr fontId="2"/>
  </si>
  <si>
    <t>倉庫コード</t>
    <rPh sb="0" eb="2">
      <t>ソウコ</t>
    </rPh>
    <phoneticPr fontId="2"/>
  </si>
  <si>
    <t>実在庫数</t>
    <rPh sb="0" eb="1">
      <t>ジツ</t>
    </rPh>
    <rPh sb="1" eb="4">
      <t>ザイコスウ</t>
    </rPh>
    <phoneticPr fontId="2"/>
  </si>
  <si>
    <t>棚卸回数</t>
    <rPh sb="0" eb="2">
      <t>タナオロシ</t>
    </rPh>
    <rPh sb="2" eb="4">
      <t>カイスウ</t>
    </rPh>
    <phoneticPr fontId="2"/>
  </si>
  <si>
    <t>入力</t>
    <rPh sb="0" eb="2">
      <t>ニュウリョク</t>
    </rPh>
    <phoneticPr fontId="2"/>
  </si>
  <si>
    <t>当社顧客名称：</t>
    <rPh sb="0" eb="2">
      <t>トウシャ</t>
    </rPh>
    <rPh sb="2" eb="4">
      <t>コキャク</t>
    </rPh>
    <rPh sb="4" eb="6">
      <t>メイショウ</t>
    </rPh>
    <phoneticPr fontId="16"/>
  </si>
  <si>
    <t>出力日時</t>
    <rPh sb="0" eb="2">
      <t>シュツリョク</t>
    </rPh>
    <rPh sb="2" eb="4">
      <t>ニチジ</t>
    </rPh>
    <phoneticPr fontId="16"/>
  </si>
  <si>
    <t>yyyyy/MM/dd   HH:mm:ss</t>
    <phoneticPr fontId="16"/>
  </si>
  <si>
    <t>顧客へ連絡日</t>
    <rPh sb="0" eb="2">
      <t>コキャク</t>
    </rPh>
    <rPh sb="3" eb="6">
      <t>レンラクビ</t>
    </rPh>
    <phoneticPr fontId="6"/>
  </si>
  <si>
    <t>顧客ID番号：</t>
    <rPh sb="0" eb="2">
      <t>コキャク</t>
    </rPh>
    <rPh sb="4" eb="6">
      <t>バンゴウ</t>
    </rPh>
    <phoneticPr fontId="6"/>
  </si>
  <si>
    <t>ページ</t>
    <phoneticPr fontId="16"/>
  </si>
  <si>
    <t>顧客へ連絡者</t>
    <rPh sb="0" eb="2">
      <t>コキャク</t>
    </rPh>
    <rPh sb="3" eb="6">
      <t>レンラクシャ</t>
    </rPh>
    <phoneticPr fontId="6"/>
  </si>
  <si>
    <t>空欄手書き</t>
    <rPh sb="0" eb="2">
      <t>クウラン</t>
    </rPh>
    <rPh sb="2" eb="4">
      <t>テガ</t>
    </rPh>
    <phoneticPr fontId="6"/>
  </si>
  <si>
    <t>顧客の商品コード</t>
    <rPh sb="0" eb="2">
      <t>コキャク</t>
    </rPh>
    <rPh sb="3" eb="5">
      <t>ショウヒン</t>
    </rPh>
    <phoneticPr fontId="16"/>
  </si>
  <si>
    <t>検品コード</t>
    <rPh sb="0" eb="2">
      <t>ケンピン</t>
    </rPh>
    <phoneticPr fontId="16"/>
  </si>
  <si>
    <t>1,000</t>
    <phoneticPr fontId="16"/>
  </si>
  <si>
    <t>800</t>
    <phoneticPr fontId="16"/>
  </si>
  <si>
    <t>×</t>
    <phoneticPr fontId="16"/>
  </si>
  <si>
    <t>×</t>
    <phoneticPr fontId="6"/>
  </si>
  <si>
    <t>数量差異</t>
    <rPh sb="0" eb="2">
      <t>スウリョウ</t>
    </rPh>
    <rPh sb="2" eb="4">
      <t>サイ</t>
    </rPh>
    <phoneticPr fontId="6"/>
  </si>
  <si>
    <t>▲</t>
    <phoneticPr fontId="6"/>
  </si>
  <si>
    <t>破損有</t>
    <rPh sb="0" eb="3">
      <t>ハソンアリ</t>
    </rPh>
    <phoneticPr fontId="6"/>
  </si>
  <si>
    <t>900</t>
    <phoneticPr fontId="16"/>
  </si>
  <si>
    <t>棚番号</t>
    <rPh sb="0" eb="3">
      <t>タナバンゴウ</t>
    </rPh>
    <phoneticPr fontId="2"/>
  </si>
  <si>
    <t>棚区分</t>
    <rPh sb="0" eb="3">
      <t>タナクブン</t>
    </rPh>
    <phoneticPr fontId="2"/>
  </si>
  <si>
    <t>全棚</t>
    <rPh sb="0" eb="1">
      <t>ゼン</t>
    </rPh>
    <rPh sb="1" eb="2">
      <t>タナ</t>
    </rPh>
    <phoneticPr fontId="2"/>
  </si>
  <si>
    <t>指示日</t>
    <rPh sb="0" eb="3">
      <t>シジビ</t>
    </rPh>
    <phoneticPr fontId="2"/>
  </si>
  <si>
    <t>YYYY/MM/DD</t>
    <phoneticPr fontId="2"/>
  </si>
  <si>
    <t>ステータス</t>
    <phoneticPr fontId="2"/>
  </si>
  <si>
    <t>未棚卸</t>
    <rPh sb="0" eb="3">
      <t>ミタナオロシ</t>
    </rPh>
    <phoneticPr fontId="2"/>
  </si>
  <si>
    <t>商品別在庫差異リスト</t>
    <rPh sb="0" eb="2">
      <t>ショウヒン</t>
    </rPh>
    <rPh sb="2" eb="3">
      <t>ベツ</t>
    </rPh>
    <rPh sb="3" eb="5">
      <t>ザイコ</t>
    </rPh>
    <rPh sb="5" eb="7">
      <t>サイ</t>
    </rPh>
    <phoneticPr fontId="16"/>
  </si>
  <si>
    <t>１</t>
    <phoneticPr fontId="2"/>
  </si>
  <si>
    <t>２</t>
    <phoneticPr fontId="2"/>
  </si>
  <si>
    <t>顧客商品名称</t>
    <rPh sb="0" eb="4">
      <t>コキャクショウヒン</t>
    </rPh>
    <rPh sb="4" eb="6">
      <t>メイショウ</t>
    </rPh>
    <phoneticPr fontId="2"/>
  </si>
  <si>
    <t>倉庫名称</t>
    <rPh sb="0" eb="2">
      <t>ソウコ</t>
    </rPh>
    <rPh sb="2" eb="4">
      <t>メイショウ</t>
    </rPh>
    <phoneticPr fontId="2"/>
  </si>
  <si>
    <t>01</t>
    <phoneticPr fontId="2"/>
  </si>
  <si>
    <t>02</t>
    <phoneticPr fontId="2"/>
  </si>
  <si>
    <t>良品倉庫</t>
    <rPh sb="0" eb="4">
      <t>リョウヒンソウコ</t>
    </rPh>
    <phoneticPr fontId="2"/>
  </si>
  <si>
    <t>不良品倉庫</t>
    <rPh sb="0" eb="5">
      <t>フリョウヒンソウコ</t>
    </rPh>
    <phoneticPr fontId="2"/>
  </si>
  <si>
    <t>倉庫種類</t>
    <rPh sb="0" eb="2">
      <t>ソウコ</t>
    </rPh>
    <rPh sb="2" eb="4">
      <t>シュルイ</t>
    </rPh>
    <phoneticPr fontId="2"/>
  </si>
  <si>
    <t>常温</t>
    <rPh sb="0" eb="2">
      <t>ジョウオン</t>
    </rPh>
    <phoneticPr fontId="2"/>
  </si>
  <si>
    <t>WMS理論数</t>
    <rPh sb="3" eb="5">
      <t>リロン</t>
    </rPh>
    <rPh sb="5" eb="6">
      <t>スウ</t>
    </rPh>
    <phoneticPr fontId="2"/>
  </si>
  <si>
    <t>実棚数</t>
    <rPh sb="0" eb="1">
      <t>ジツ</t>
    </rPh>
    <rPh sb="1" eb="2">
      <t>タナ</t>
    </rPh>
    <rPh sb="2" eb="3">
      <t>スウ</t>
    </rPh>
    <phoneticPr fontId="2"/>
  </si>
  <si>
    <t>差異</t>
    <rPh sb="0" eb="2">
      <t>サイ</t>
    </rPh>
    <phoneticPr fontId="2"/>
  </si>
  <si>
    <t>ー200pcs</t>
    <phoneticPr fontId="6"/>
  </si>
  <si>
    <t>結果</t>
    <rPh sb="0" eb="2">
      <t>ケッカ</t>
    </rPh>
    <phoneticPr fontId="16"/>
  </si>
  <si>
    <t>900</t>
    <phoneticPr fontId="2"/>
  </si>
  <si>
    <t>0pcs</t>
    <phoneticPr fontId="2"/>
  </si>
  <si>
    <t>〇</t>
    <phoneticPr fontId="16"/>
  </si>
  <si>
    <t>前回実施数</t>
    <rPh sb="0" eb="2">
      <t>ゼンカイ</t>
    </rPh>
    <rPh sb="2" eb="4">
      <t>ジッシ</t>
    </rPh>
    <rPh sb="4" eb="5">
      <t>スウ</t>
    </rPh>
    <phoneticPr fontId="2"/>
  </si>
  <si>
    <t>棚卸回数</t>
    <rPh sb="0" eb="2">
      <t>タナオロシ</t>
    </rPh>
    <rPh sb="2" eb="4">
      <t>カイスウ</t>
    </rPh>
    <phoneticPr fontId="2"/>
  </si>
  <si>
    <t>最終更新者</t>
    <rPh sb="0" eb="2">
      <t>サイシュウ</t>
    </rPh>
    <rPh sb="2" eb="5">
      <t>コウシンシャ</t>
    </rPh>
    <phoneticPr fontId="2"/>
  </si>
  <si>
    <t>未実施</t>
    <rPh sb="0" eb="3">
      <t>ミジッシ</t>
    </rPh>
    <phoneticPr fontId="2"/>
  </si>
  <si>
    <t>川村　剛</t>
    <rPh sb="0" eb="2">
      <t>カワムラ</t>
    </rPh>
    <rPh sb="3" eb="4">
      <t>ツヨシ</t>
    </rPh>
    <phoneticPr fontId="2"/>
  </si>
  <si>
    <t>備考</t>
    <rPh sb="0" eb="2">
      <t>ビコウ</t>
    </rPh>
    <phoneticPr fontId="2"/>
  </si>
  <si>
    <t>田中商事株式会社　様</t>
    <rPh sb="0" eb="4">
      <t>タナカショウジ</t>
    </rPh>
    <rPh sb="4" eb="8">
      <t>カブシキガイシャ</t>
    </rPh>
    <rPh sb="9" eb="10">
      <t>サマ</t>
    </rPh>
    <phoneticPr fontId="2"/>
  </si>
  <si>
    <t>YYYY/MM/DD</t>
    <phoneticPr fontId="6"/>
  </si>
  <si>
    <t xml:space="preserve"> N180712000016-</t>
    <phoneticPr fontId="2"/>
  </si>
  <si>
    <t xml:space="preserve">棚卸指示番号  </t>
    <rPh sb="0" eb="2">
      <t>タナオロシ</t>
    </rPh>
    <rPh sb="2" eb="6">
      <t>シジバンゴウ</t>
    </rPh>
    <phoneticPr fontId="16"/>
  </si>
  <si>
    <t>0回</t>
    <rPh sb="1" eb="2">
      <t>カイ</t>
    </rPh>
    <phoneticPr fontId="2"/>
  </si>
  <si>
    <t>/3</t>
    <phoneticPr fontId="16"/>
  </si>
  <si>
    <t>3</t>
    <phoneticPr fontId="2"/>
  </si>
  <si>
    <t>99</t>
    <phoneticPr fontId="2"/>
  </si>
  <si>
    <t>100</t>
    <phoneticPr fontId="2"/>
  </si>
  <si>
    <t>合計数</t>
    <rPh sb="0" eb="2">
      <t>ゴウケイ</t>
    </rPh>
    <rPh sb="2" eb="3">
      <t>スウ</t>
    </rPh>
    <phoneticPr fontId="2"/>
  </si>
  <si>
    <t>3,000</t>
    <phoneticPr fontId="2"/>
  </si>
  <si>
    <t>2,900</t>
    <phoneticPr fontId="2"/>
  </si>
  <si>
    <t>-100</t>
    <phoneticPr fontId="2"/>
  </si>
  <si>
    <t>検索範囲</t>
    <rPh sb="0" eb="2">
      <t>ケンサク</t>
    </rPh>
    <rPh sb="2" eb="4">
      <t>ハンイ</t>
    </rPh>
    <phoneticPr fontId="2"/>
  </si>
  <si>
    <t>当日</t>
    <rPh sb="0" eb="2">
      <t>トウジツ</t>
    </rPh>
    <phoneticPr fontId="2"/>
  </si>
  <si>
    <t>ー</t>
    <phoneticPr fontId="2"/>
  </si>
  <si>
    <t>更新停止</t>
    <rPh sb="0" eb="2">
      <t>コウシン</t>
    </rPh>
    <rPh sb="2" eb="4">
      <t>テイシ</t>
    </rPh>
    <phoneticPr fontId="2"/>
  </si>
  <si>
    <t>凡例：</t>
    <rPh sb="0" eb="2">
      <t>ハンレイ</t>
    </rPh>
    <phoneticPr fontId="2"/>
  </si>
  <si>
    <t>未棚卸</t>
    <rPh sb="0" eb="3">
      <t>ミタナオロシ</t>
    </rPh>
    <phoneticPr fontId="2"/>
  </si>
  <si>
    <t>差異なし</t>
    <rPh sb="0" eb="2">
      <t>サイ</t>
    </rPh>
    <phoneticPr fontId="2"/>
  </si>
  <si>
    <t>差異あり</t>
    <rPh sb="0" eb="2">
      <t>サイ</t>
    </rPh>
    <phoneticPr fontId="2"/>
  </si>
  <si>
    <t>確認済</t>
    <rPh sb="0" eb="2">
      <t>カクニン</t>
    </rPh>
    <rPh sb="2" eb="3">
      <t>ズ</t>
    </rPh>
    <phoneticPr fontId="2"/>
  </si>
  <si>
    <t>拠点</t>
    <rPh sb="0" eb="2">
      <t>キョテン</t>
    </rPh>
    <phoneticPr fontId="2"/>
  </si>
  <si>
    <t>横浜倉庫</t>
    <rPh sb="0" eb="4">
      <t>ヨコハマソウコ</t>
    </rPh>
    <phoneticPr fontId="2"/>
  </si>
  <si>
    <t>タイトル</t>
    <phoneticPr fontId="2"/>
  </si>
  <si>
    <t>棚番号（from）</t>
    <rPh sb="0" eb="3">
      <t>タナバンゴウ</t>
    </rPh>
    <phoneticPr fontId="2"/>
  </si>
  <si>
    <t>棚番号（to）</t>
    <rPh sb="0" eb="3">
      <t>タナバンゴウ</t>
    </rPh>
    <phoneticPr fontId="2"/>
  </si>
  <si>
    <t>YYYY/MM/DD</t>
    <phoneticPr fontId="2"/>
  </si>
  <si>
    <t>全棚</t>
    <rPh sb="0" eb="2">
      <t>ゼンタナ</t>
    </rPh>
    <phoneticPr fontId="2"/>
  </si>
  <si>
    <t>差異区分</t>
    <rPh sb="0" eb="2">
      <t>サイ</t>
    </rPh>
    <rPh sb="2" eb="4">
      <t>クブン</t>
    </rPh>
    <phoneticPr fontId="2"/>
  </si>
  <si>
    <t>間口数</t>
    <rPh sb="0" eb="2">
      <t>マグチ</t>
    </rPh>
    <rPh sb="2" eb="3">
      <t>スウ</t>
    </rPh>
    <phoneticPr fontId="2"/>
  </si>
  <si>
    <t>実施間口数</t>
    <rPh sb="0" eb="2">
      <t>ジッシ</t>
    </rPh>
    <rPh sb="2" eb="4">
      <t>マグチ</t>
    </rPh>
    <rPh sb="4" eb="5">
      <t>スウ</t>
    </rPh>
    <phoneticPr fontId="2"/>
  </si>
  <si>
    <t>理論アイテム数</t>
    <rPh sb="0" eb="2">
      <t>リロン</t>
    </rPh>
    <rPh sb="6" eb="7">
      <t>スウ</t>
    </rPh>
    <phoneticPr fontId="2"/>
  </si>
  <si>
    <t>実アイテム数</t>
    <rPh sb="0" eb="1">
      <t>ジツ</t>
    </rPh>
    <rPh sb="5" eb="6">
      <t>スウ</t>
    </rPh>
    <phoneticPr fontId="2"/>
  </si>
  <si>
    <t>理論ピース数</t>
    <rPh sb="0" eb="2">
      <t>リロン</t>
    </rPh>
    <rPh sb="5" eb="6">
      <t>スウ</t>
    </rPh>
    <phoneticPr fontId="2"/>
  </si>
  <si>
    <t>実棚数</t>
    <rPh sb="0" eb="1">
      <t>ジツ</t>
    </rPh>
    <rPh sb="1" eb="2">
      <t>タナ</t>
    </rPh>
    <rPh sb="2" eb="3">
      <t>スウ</t>
    </rPh>
    <phoneticPr fontId="2"/>
  </si>
  <si>
    <t>20250506002（1200件）</t>
    <rPh sb="16" eb="17">
      <t>ケン</t>
    </rPh>
    <phoneticPr fontId="2"/>
  </si>
  <si>
    <t>山本商事_棚卸20250506_2</t>
    <rPh sb="0" eb="2">
      <t>ヤマモト</t>
    </rPh>
    <phoneticPr fontId="2"/>
  </si>
  <si>
    <t>棚卸済</t>
    <rPh sb="0" eb="2">
      <t>タナオロシ</t>
    </rPh>
    <rPh sb="2" eb="3">
      <t>ズ</t>
    </rPh>
    <phoneticPr fontId="2"/>
  </si>
  <si>
    <t>判定</t>
    <rPh sb="0" eb="2">
      <t>ハンテイ</t>
    </rPh>
    <phoneticPr fontId="2"/>
  </si>
  <si>
    <t>×</t>
    <phoneticPr fontId="2"/>
  </si>
  <si>
    <t>選択</t>
    <rPh sb="0" eb="2">
      <t>センタク</t>
    </rPh>
    <phoneticPr fontId="2"/>
  </si>
  <si>
    <t>□</t>
    <phoneticPr fontId="2"/>
  </si>
  <si>
    <t>実施状況</t>
    <rPh sb="0" eb="2">
      <t>ジッシ</t>
    </rPh>
    <rPh sb="2" eb="4">
      <t>ジョウキョウ</t>
    </rPh>
    <phoneticPr fontId="2"/>
  </si>
  <si>
    <t>未実施の棚があります。</t>
    <rPh sb="0" eb="3">
      <t>ミジッシ</t>
    </rPh>
    <rPh sb="4" eb="5">
      <t>タナ</t>
    </rPh>
    <phoneticPr fontId="2"/>
  </si>
  <si>
    <t>実施完了</t>
    <rPh sb="0" eb="2">
      <t>ジッシ</t>
    </rPh>
    <rPh sb="2" eb="4">
      <t>カンリョウ</t>
    </rPh>
    <phoneticPr fontId="2"/>
  </si>
  <si>
    <t>確定</t>
    <rPh sb="0" eb="2">
      <t>カクテイ</t>
    </rPh>
    <phoneticPr fontId="2"/>
  </si>
  <si>
    <t>全選択</t>
    <rPh sb="0" eb="3">
      <t>ゼンセンタク</t>
    </rPh>
    <phoneticPr fontId="2"/>
  </si>
  <si>
    <t>全解除</t>
    <rPh sb="0" eb="3">
      <t>ゼンカイジョ</t>
    </rPh>
    <phoneticPr fontId="2"/>
  </si>
  <si>
    <t>総件数：2件</t>
    <rPh sb="0" eb="3">
      <t>ソウケンスウ</t>
    </rPh>
    <rPh sb="5" eb="6">
      <t>ケン</t>
    </rPh>
    <phoneticPr fontId="2"/>
  </si>
  <si>
    <t>選択数：1件</t>
    <rPh sb="0" eb="2">
      <t>センタク</t>
    </rPh>
    <rPh sb="2" eb="3">
      <t>スウ</t>
    </rPh>
    <rPh sb="5" eb="6">
      <t>ケン</t>
    </rPh>
    <phoneticPr fontId="2"/>
  </si>
  <si>
    <t>■</t>
    <phoneticPr fontId="2"/>
  </si>
  <si>
    <t>棚卸確定入力</t>
    <rPh sb="0" eb="2">
      <t>タナオロシ</t>
    </rPh>
    <rPh sb="2" eb="4">
      <t>カクテイ</t>
    </rPh>
    <rPh sb="4" eb="6">
      <t>ニュウリョク</t>
    </rPh>
    <phoneticPr fontId="2"/>
  </si>
  <si>
    <t>01</t>
    <phoneticPr fontId="3"/>
  </si>
  <si>
    <t>02</t>
    <phoneticPr fontId="3"/>
  </si>
  <si>
    <t>04</t>
    <phoneticPr fontId="3"/>
  </si>
  <si>
    <t>顧客商品コード</t>
    <rPh sb="0" eb="2">
      <t>コキャク</t>
    </rPh>
    <rPh sb="2" eb="4">
      <t>ショウヒン</t>
    </rPh>
    <phoneticPr fontId="3"/>
  </si>
  <si>
    <t>検品コード（JAN)</t>
    <rPh sb="0" eb="2">
      <t>ケンピン</t>
    </rPh>
    <phoneticPr fontId="3"/>
  </si>
  <si>
    <t>*</t>
    <phoneticPr fontId="2"/>
  </si>
  <si>
    <t>記載（入力）して、WMSへ一括アップロードすることは可能にすること！</t>
    <rPh sb="0" eb="2">
      <t>キサイ</t>
    </rPh>
    <rPh sb="3" eb="5">
      <t>ニュウリョク</t>
    </rPh>
    <rPh sb="13" eb="15">
      <t>イッカツ</t>
    </rPh>
    <rPh sb="26" eb="28">
      <t>カノウ</t>
    </rPh>
    <phoneticPr fontId="2"/>
  </si>
  <si>
    <t>賞味期限</t>
    <rPh sb="0" eb="2">
      <t>ショウミ</t>
    </rPh>
    <rPh sb="2" eb="4">
      <t>キゲン</t>
    </rPh>
    <phoneticPr fontId="2"/>
  </si>
  <si>
    <t>賞味期限（入力）</t>
    <rPh sb="0" eb="4">
      <t>ショウミキゲン</t>
    </rPh>
    <rPh sb="5" eb="7">
      <t>ニュウリョク</t>
    </rPh>
    <phoneticPr fontId="2"/>
  </si>
  <si>
    <t>顧客ID</t>
    <rPh sb="0" eb="2">
      <t>コキャク</t>
    </rPh>
    <phoneticPr fontId="3"/>
  </si>
  <si>
    <t>顧客名称</t>
    <rPh sb="0" eb="2">
      <t>コキャク</t>
    </rPh>
    <rPh sb="2" eb="4">
      <t>メイショウ</t>
    </rPh>
    <phoneticPr fontId="3"/>
  </si>
  <si>
    <t>YYYYYYYYY</t>
    <phoneticPr fontId="2"/>
  </si>
  <si>
    <t>田中商事</t>
    <rPh sb="0" eb="4">
      <t>タナカショウジ</t>
    </rPh>
    <phoneticPr fontId="2"/>
  </si>
  <si>
    <t>倉庫拠点</t>
    <rPh sb="0" eb="2">
      <t>ソウコ</t>
    </rPh>
    <rPh sb="2" eb="4">
      <t>キョテン</t>
    </rPh>
    <phoneticPr fontId="6"/>
  </si>
  <si>
    <t>横浜倉庫</t>
    <rPh sb="0" eb="4">
      <t>ヨコハマソウコ</t>
    </rPh>
    <phoneticPr fontId="3"/>
  </si>
  <si>
    <t>棚卸管理</t>
    <rPh sb="0" eb="2">
      <t>タナオロシ</t>
    </rPh>
    <rPh sb="2" eb="4">
      <t>カンリ</t>
    </rPh>
    <phoneticPr fontId="2"/>
  </si>
  <si>
    <t>別シートをご確認ください。</t>
    <rPh sb="0" eb="1">
      <t>ベツ</t>
    </rPh>
    <rPh sb="6" eb="8">
      <t>カクニン</t>
    </rPh>
    <phoneticPr fontId="2"/>
  </si>
  <si>
    <t>商品マスタのロジック案は董さんが提案する！！！</t>
    <rPh sb="0" eb="2">
      <t>ショウヒン</t>
    </rPh>
    <rPh sb="10" eb="11">
      <t>アン</t>
    </rPh>
    <rPh sb="12" eb="13">
      <t>トウ</t>
    </rPh>
    <rPh sb="16" eb="18">
      <t>テイアン</t>
    </rPh>
    <phoneticPr fontId="2"/>
  </si>
  <si>
    <t>mask白</t>
    <rPh sb="4" eb="5">
      <t>シロ</t>
    </rPh>
    <phoneticPr fontId="3"/>
  </si>
  <si>
    <t>mask黒</t>
    <rPh sb="4" eb="5">
      <t>クロ</t>
    </rPh>
    <phoneticPr fontId="3"/>
  </si>
  <si>
    <t>maskグレー</t>
    <phoneticPr fontId="3"/>
  </si>
  <si>
    <t>mask紺</t>
    <rPh sb="4" eb="5">
      <t>コン</t>
    </rPh>
    <phoneticPr fontId="3"/>
  </si>
  <si>
    <t>イヤホン白</t>
    <rPh sb="4" eb="5">
      <t>シロ</t>
    </rPh>
    <phoneticPr fontId="3"/>
  </si>
  <si>
    <t>イヤホン黒</t>
    <rPh sb="4" eb="5">
      <t>クロ</t>
    </rPh>
    <phoneticPr fontId="3"/>
  </si>
  <si>
    <t>mask赤</t>
    <rPh sb="4" eb="5">
      <t>アカ</t>
    </rPh>
    <phoneticPr fontId="3"/>
  </si>
  <si>
    <t>mask緑</t>
    <rPh sb="4" eb="5">
      <t>ミドリ</t>
    </rPh>
    <phoneticPr fontId="3"/>
  </si>
  <si>
    <t>イヤホン緑</t>
    <rPh sb="4" eb="5">
      <t>ミドリ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</si>
</sst>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9"/>
      <color rgb="FFFF000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4"/>
      <color rgb="FFFF0000"/>
      <name val="メイリオ"/>
      <family val="3"/>
      <charset val="128"/>
    </font>
    <font>
      <sz val="6"/>
      <name val="ＭＳ Ｐゴシック"/>
      <family val="3"/>
      <charset val="128"/>
    </font>
    <font>
      <b/>
      <sz val="11"/>
      <color rgb="FFFF0000"/>
      <name val="メイリオ"/>
      <family val="3"/>
      <charset val="128"/>
    </font>
    <font>
      <sz val="14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14"/>
      <color theme="1"/>
      <name val="Segoe UI Symbol"/>
      <family val="3"/>
    </font>
    <font>
      <b/>
      <u/>
      <sz val="18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b/>
      <sz val="14"/>
      <color rgb="FFFF0000"/>
      <name val="Yu Gothic"/>
      <family val="3"/>
      <charset val="128"/>
      <scheme val="minor"/>
    </font>
    <font>
      <sz val="18"/>
      <color theme="1"/>
      <name val="Meiryo UI"/>
      <family val="3"/>
      <charset val="128"/>
    </font>
    <font>
      <sz val="6"/>
      <name val="Yu Gothic"/>
      <family val="2"/>
      <charset val="128"/>
      <scheme val="minor"/>
    </font>
    <font>
      <sz val="12"/>
      <color theme="1"/>
      <name val="Meiryo UI"/>
      <family val="3"/>
      <charset val="128"/>
    </font>
    <font>
      <sz val="12"/>
      <color theme="1"/>
      <name val="Yu Gothic"/>
      <family val="2"/>
      <scheme val="minor"/>
    </font>
    <font>
      <b/>
      <sz val="12"/>
      <color theme="1"/>
      <name val="Meiryo UI"/>
      <family val="3"/>
      <charset val="128"/>
    </font>
    <font>
      <sz val="12"/>
      <color theme="1"/>
      <name val="Yu Gothic"/>
      <family val="3"/>
      <charset val="128"/>
      <scheme val="minor"/>
    </font>
    <font>
      <sz val="12"/>
      <color theme="1"/>
      <name val="Segoe UI Symbol"/>
      <family val="3"/>
    </font>
    <font>
      <u/>
      <sz val="14"/>
      <color theme="1"/>
      <name val="Yu Gothic"/>
      <family val="3"/>
      <charset val="128"/>
      <scheme val="minor"/>
    </font>
    <font>
      <b/>
      <sz val="11"/>
      <color theme="1"/>
      <name val="メイリオ"/>
      <family val="3"/>
      <charset val="128"/>
    </font>
    <font>
      <b/>
      <sz val="28"/>
      <color rgb="FFFF0000"/>
      <name val="Yu Gothic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75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49" fontId="4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8" fillId="0" borderId="1" xfId="0" applyFont="1" applyBorder="1"/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0" xfId="0" applyFont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1" xfId="0" applyFont="1" applyBorder="1"/>
    <xf numFmtId="0" fontId="8" fillId="0" borderId="12" xfId="0" applyFont="1" applyBorder="1"/>
    <xf numFmtId="0" fontId="8" fillId="0" borderId="0" xfId="0" applyFont="1" applyAlignment="1">
      <alignment horizontal="right"/>
    </xf>
    <xf numFmtId="0" fontId="8" fillId="0" borderId="5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3" borderId="0" xfId="0" applyFill="1"/>
    <xf numFmtId="49" fontId="0" fillId="3" borderId="0" xfId="0" applyNumberFormat="1" applyFill="1" applyAlignment="1">
      <alignment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left"/>
    </xf>
    <xf numFmtId="0" fontId="0" fillId="0" borderId="9" xfId="0" applyBorder="1"/>
    <xf numFmtId="176" fontId="0" fillId="0" borderId="0" xfId="0" applyNumberFormat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13" fillId="0" borderId="0" xfId="0" applyFont="1"/>
    <xf numFmtId="0" fontId="12" fillId="4" borderId="0" xfId="0" applyFont="1" applyFill="1" applyAlignment="1">
      <alignment vertical="center"/>
    </xf>
    <xf numFmtId="0" fontId="12" fillId="4" borderId="8" xfId="0" applyFont="1" applyFill="1" applyBorder="1" applyAlignment="1">
      <alignment vertical="center"/>
    </xf>
    <xf numFmtId="0" fontId="12" fillId="4" borderId="9" xfId="0" applyFont="1" applyFill="1" applyBorder="1" applyAlignment="1">
      <alignment vertical="center"/>
    </xf>
    <xf numFmtId="0" fontId="8" fillId="0" borderId="6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176" fontId="8" fillId="0" borderId="0" xfId="0" applyNumberFormat="1" applyFont="1"/>
    <xf numFmtId="0" fontId="8" fillId="0" borderId="0" xfId="0" applyFont="1" applyAlignment="1">
      <alignment horizontal="left"/>
    </xf>
    <xf numFmtId="0" fontId="8" fillId="0" borderId="6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8" fillId="0" borderId="11" xfId="0" applyFont="1" applyBorder="1" applyAlignment="1">
      <alignment horizontal="left"/>
    </xf>
    <xf numFmtId="176" fontId="8" fillId="0" borderId="0" xfId="0" applyNumberFormat="1" applyFont="1" applyAlignment="1">
      <alignment horizontal="left"/>
    </xf>
    <xf numFmtId="176" fontId="8" fillId="0" borderId="0" xfId="0" applyNumberFormat="1" applyFont="1" applyAlignment="1">
      <alignment horizontal="left" wrapText="1"/>
    </xf>
    <xf numFmtId="0" fontId="8" fillId="3" borderId="1" xfId="0" applyFont="1" applyFill="1" applyBorder="1"/>
    <xf numFmtId="49" fontId="19" fillId="4" borderId="2" xfId="1" applyNumberFormat="1" applyFont="1" applyFill="1" applyBorder="1" applyAlignment="1">
      <alignment horizontal="center" vertical="center"/>
    </xf>
    <xf numFmtId="49" fontId="17" fillId="3" borderId="0" xfId="1" applyNumberFormat="1" applyFont="1" applyFill="1">
      <alignment vertical="center"/>
    </xf>
    <xf numFmtId="49" fontId="15" fillId="0" borderId="0" xfId="1" applyNumberFormat="1" applyFont="1" applyAlignment="1">
      <alignment horizontal="center" vertical="center"/>
    </xf>
    <xf numFmtId="0" fontId="18" fillId="0" borderId="0" xfId="0" applyFont="1"/>
    <xf numFmtId="49" fontId="17" fillId="0" borderId="5" xfId="1" applyNumberFormat="1" applyFont="1" applyBorder="1">
      <alignment vertical="center"/>
    </xf>
    <xf numFmtId="49" fontId="17" fillId="0" borderId="6" xfId="1" applyNumberFormat="1" applyFont="1" applyBorder="1">
      <alignment vertical="center"/>
    </xf>
    <xf numFmtId="49" fontId="17" fillId="0" borderId="7" xfId="1" applyNumberFormat="1" applyFont="1" applyBorder="1">
      <alignment vertical="center"/>
    </xf>
    <xf numFmtId="49" fontId="17" fillId="0" borderId="0" xfId="1" applyNumberFormat="1" applyFont="1">
      <alignment vertical="center"/>
    </xf>
    <xf numFmtId="49" fontId="19" fillId="0" borderId="0" xfId="1" applyNumberFormat="1" applyFont="1">
      <alignment vertical="center"/>
    </xf>
    <xf numFmtId="49" fontId="17" fillId="0" borderId="8" xfId="1" applyNumberFormat="1" applyFont="1" applyBorder="1">
      <alignment vertical="center"/>
    </xf>
    <xf numFmtId="49" fontId="17" fillId="0" borderId="1" xfId="1" applyNumberFormat="1" applyFont="1" applyBorder="1" applyAlignment="1">
      <alignment horizontal="center" vertical="center"/>
    </xf>
    <xf numFmtId="49" fontId="17" fillId="0" borderId="9" xfId="1" applyNumberFormat="1" applyFont="1" applyBorder="1">
      <alignment vertical="center"/>
    </xf>
    <xf numFmtId="49" fontId="17" fillId="0" borderId="0" xfId="1" applyNumberFormat="1" applyFont="1" applyAlignment="1">
      <alignment horizontal="right" vertical="center"/>
    </xf>
    <xf numFmtId="49" fontId="19" fillId="0" borderId="8" xfId="1" applyNumberFormat="1" applyFont="1" applyBorder="1">
      <alignment vertical="center"/>
    </xf>
    <xf numFmtId="49" fontId="19" fillId="0" borderId="9" xfId="1" applyNumberFormat="1" applyFont="1" applyBorder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17" fillId="0" borderId="2" xfId="1" applyNumberFormat="1" applyFont="1" applyBorder="1">
      <alignment vertical="center"/>
    </xf>
    <xf numFmtId="49" fontId="17" fillId="0" borderId="2" xfId="1" applyNumberFormat="1" applyFont="1" applyBorder="1" applyAlignment="1">
      <alignment horizontal="right" vertical="center"/>
    </xf>
    <xf numFmtId="49" fontId="17" fillId="0" borderId="2" xfId="1" applyNumberFormat="1" applyFont="1" applyBorder="1" applyAlignment="1">
      <alignment horizontal="center" vertical="center"/>
    </xf>
    <xf numFmtId="49" fontId="19" fillId="0" borderId="2" xfId="1" applyNumberFormat="1" applyFont="1" applyBorder="1" applyAlignment="1">
      <alignment horizontal="center" vertical="center"/>
    </xf>
    <xf numFmtId="49" fontId="19" fillId="0" borderId="9" xfId="1" applyNumberFormat="1" applyFont="1" applyBorder="1" applyAlignment="1">
      <alignment horizontal="center" vertical="center"/>
    </xf>
    <xf numFmtId="49" fontId="19" fillId="0" borderId="0" xfId="1" applyNumberFormat="1" applyFont="1" applyAlignment="1">
      <alignment horizontal="center" vertical="center"/>
    </xf>
    <xf numFmtId="49" fontId="17" fillId="0" borderId="9" xfId="1" applyNumberFormat="1" applyFont="1" applyBorder="1" applyAlignment="1">
      <alignment horizontal="center" vertical="center"/>
    </xf>
    <xf numFmtId="49" fontId="17" fillId="0" borderId="0" xfId="1" applyNumberFormat="1" applyFont="1" applyAlignment="1">
      <alignment horizontal="center" vertical="center"/>
    </xf>
    <xf numFmtId="49" fontId="17" fillId="0" borderId="4" xfId="1" applyNumberFormat="1" applyFont="1" applyBorder="1">
      <alignment vertical="center"/>
    </xf>
    <xf numFmtId="49" fontId="17" fillId="0" borderId="4" xfId="1" applyNumberFormat="1" applyFont="1" applyBorder="1" applyAlignment="1">
      <alignment horizontal="center" vertical="center"/>
    </xf>
    <xf numFmtId="49" fontId="17" fillId="0" borderId="10" xfId="1" applyNumberFormat="1" applyFont="1" applyBorder="1">
      <alignment vertical="center"/>
    </xf>
    <xf numFmtId="49" fontId="17" fillId="0" borderId="11" xfId="1" applyNumberFormat="1" applyFont="1" applyBorder="1">
      <alignment vertical="center"/>
    </xf>
    <xf numFmtId="49" fontId="17" fillId="0" borderId="12" xfId="1" applyNumberFormat="1" applyFont="1" applyBorder="1">
      <alignment vertical="center"/>
    </xf>
    <xf numFmtId="49" fontId="19" fillId="0" borderId="2" xfId="1" applyNumberFormat="1" applyFont="1" applyBorder="1">
      <alignment vertical="center"/>
    </xf>
    <xf numFmtId="49" fontId="17" fillId="0" borderId="4" xfId="1" applyNumberFormat="1" applyFont="1" applyBorder="1" applyAlignment="1">
      <alignment horizontal="left" vertical="center"/>
    </xf>
    <xf numFmtId="49" fontId="17" fillId="0" borderId="4" xfId="1" applyNumberFormat="1" applyFont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49" fontId="17" fillId="0" borderId="0" xfId="1" applyNumberFormat="1" applyFont="1" applyAlignment="1"/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horizontal="center"/>
    </xf>
    <xf numFmtId="0" fontId="8" fillId="0" borderId="2" xfId="0" applyFont="1" applyBorder="1" applyAlignment="1">
      <alignment horizontal="left"/>
    </xf>
    <xf numFmtId="176" fontId="8" fillId="0" borderId="2" xfId="0" applyNumberFormat="1" applyFont="1" applyBorder="1" applyAlignment="1">
      <alignment horizontal="left" wrapText="1"/>
    </xf>
    <xf numFmtId="0" fontId="18" fillId="0" borderId="4" xfId="0" applyFont="1" applyBorder="1"/>
    <xf numFmtId="49" fontId="17" fillId="0" borderId="6" xfId="1" applyNumberFormat="1" applyFont="1" applyBorder="1" applyAlignment="1">
      <alignment horizontal="center"/>
    </xf>
    <xf numFmtId="49" fontId="15" fillId="0" borderId="9" xfId="1" applyNumberFormat="1" applyFont="1" applyBorder="1" applyAlignment="1">
      <alignment horizontal="center" vertical="center"/>
    </xf>
    <xf numFmtId="0" fontId="18" fillId="0" borderId="8" xfId="0" applyFont="1" applyBorder="1"/>
    <xf numFmtId="0" fontId="18" fillId="0" borderId="9" xfId="0" applyFont="1" applyBorder="1"/>
    <xf numFmtId="49" fontId="19" fillId="4" borderId="2" xfId="1" applyNumberFormat="1" applyFont="1" applyFill="1" applyBorder="1">
      <alignment vertical="center"/>
    </xf>
    <xf numFmtId="49" fontId="19" fillId="4" borderId="2" xfId="1" applyNumberFormat="1" applyFont="1" applyFill="1" applyBorder="1" applyAlignment="1">
      <alignment horizontal="right" vertical="center"/>
    </xf>
    <xf numFmtId="49" fontId="19" fillId="4" borderId="4" xfId="1" applyNumberFormat="1" applyFont="1" applyFill="1" applyBorder="1">
      <alignment vertical="center"/>
    </xf>
    <xf numFmtId="49" fontId="19" fillId="4" borderId="4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49" fontId="17" fillId="3" borderId="0" xfId="1" applyNumberFormat="1" applyFont="1" applyFill="1" applyAlignment="1">
      <alignment horizontal="right" vertical="center"/>
    </xf>
    <xf numFmtId="0" fontId="9" fillId="0" borderId="0" xfId="0" applyFont="1" applyAlignment="1">
      <alignment horizontal="left"/>
    </xf>
    <xf numFmtId="0" fontId="8" fillId="0" borderId="13" xfId="0" applyFont="1" applyBorder="1" applyAlignment="1">
      <alignment horizontal="center"/>
    </xf>
    <xf numFmtId="0" fontId="8" fillId="6" borderId="1" xfId="0" applyFont="1" applyFill="1" applyBorder="1"/>
    <xf numFmtId="0" fontId="8" fillId="5" borderId="1" xfId="0" applyFont="1" applyFill="1" applyBorder="1"/>
    <xf numFmtId="0" fontId="8" fillId="2" borderId="1" xfId="0" applyFont="1" applyFill="1" applyBorder="1"/>
    <xf numFmtId="0" fontId="9" fillId="4" borderId="0" xfId="0" applyFont="1" applyFill="1" applyAlignment="1">
      <alignment horizontal="center"/>
    </xf>
    <xf numFmtId="0" fontId="9" fillId="7" borderId="0" xfId="0" applyFont="1" applyFill="1"/>
    <xf numFmtId="0" fontId="9" fillId="7" borderId="13" xfId="0" applyFont="1" applyFill="1" applyBorder="1"/>
    <xf numFmtId="0" fontId="9" fillId="7" borderId="13" xfId="0" applyFont="1" applyFill="1" applyBorder="1" applyAlignment="1">
      <alignment horizontal="left"/>
    </xf>
    <xf numFmtId="0" fontId="8" fillId="0" borderId="13" xfId="0" applyFont="1" applyBorder="1"/>
    <xf numFmtId="0" fontId="22" fillId="0" borderId="13" xfId="0" applyFont="1" applyBorder="1"/>
    <xf numFmtId="0" fontId="8" fillId="0" borderId="13" xfId="0" applyFont="1" applyBorder="1" applyAlignment="1">
      <alignment horizontal="left"/>
    </xf>
    <xf numFmtId="3" fontId="8" fillId="0" borderId="13" xfId="0" applyNumberFormat="1" applyFont="1" applyBorder="1"/>
    <xf numFmtId="0" fontId="8" fillId="0" borderId="16" xfId="0" applyFont="1" applyBorder="1"/>
    <xf numFmtId="0" fontId="22" fillId="0" borderId="16" xfId="0" applyFont="1" applyBorder="1"/>
    <xf numFmtId="0" fontId="8" fillId="0" borderId="16" xfId="0" applyFont="1" applyBorder="1" applyAlignment="1">
      <alignment horizontal="left"/>
    </xf>
    <xf numFmtId="3" fontId="8" fillId="0" borderId="16" xfId="0" applyNumberFormat="1" applyFont="1" applyBorder="1"/>
    <xf numFmtId="0" fontId="8" fillId="0" borderId="17" xfId="0" applyFont="1" applyBorder="1"/>
    <xf numFmtId="0" fontId="8" fillId="0" borderId="17" xfId="0" applyFont="1" applyBorder="1" applyAlignment="1">
      <alignment horizontal="left"/>
    </xf>
    <xf numFmtId="0" fontId="8" fillId="5" borderId="16" xfId="0" applyFont="1" applyFill="1" applyBorder="1"/>
    <xf numFmtId="0" fontId="9" fillId="7" borderId="13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5" borderId="13" xfId="0" applyFont="1" applyFill="1" applyBorder="1"/>
    <xf numFmtId="0" fontId="4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4" fillId="9" borderId="0" xfId="0" applyFont="1" applyFill="1" applyAlignment="1">
      <alignment vertical="center"/>
    </xf>
    <xf numFmtId="0" fontId="23" fillId="9" borderId="0" xfId="0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49" fontId="23" fillId="8" borderId="0" xfId="0" applyNumberFormat="1" applyFont="1" applyFill="1" applyAlignment="1">
      <alignment horizontal="center" vertical="center"/>
    </xf>
    <xf numFmtId="0" fontId="23" fillId="8" borderId="0" xfId="0" applyFont="1" applyFill="1" applyAlignment="1">
      <alignment vertical="center"/>
    </xf>
    <xf numFmtId="0" fontId="8" fillId="0" borderId="1" xfId="0" applyFont="1" applyBorder="1" applyAlignment="1">
      <alignment horizontal="right"/>
    </xf>
    <xf numFmtId="3" fontId="8" fillId="0" borderId="16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49" fontId="17" fillId="0" borderId="0" xfId="1" applyNumberFormat="1" applyFont="1" applyAlignment="1">
      <alignment horizontal="center" vertical="center"/>
    </xf>
    <xf numFmtId="49" fontId="15" fillId="0" borderId="8" xfId="1" applyNumberFormat="1" applyFont="1" applyBorder="1" applyAlignment="1">
      <alignment horizontal="center" vertical="center"/>
    </xf>
    <xf numFmtId="49" fontId="15" fillId="0" borderId="0" xfId="1" applyNumberFormat="1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49" fontId="17" fillId="0" borderId="3" xfId="1" applyNumberFormat="1" applyFont="1" applyBorder="1" applyAlignment="1">
      <alignment horizontal="center" vertical="center"/>
    </xf>
    <xf numFmtId="49" fontId="17" fillId="0" borderId="4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3" fillId="8" borderId="0" xfId="0" applyFont="1" applyFill="1" applyAlignment="1">
      <alignment vertical="center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8" fillId="7" borderId="18" xfId="0" applyFont="1" applyFill="1" applyBorder="1"/>
    <xf numFmtId="0" fontId="8" fillId="7" borderId="18" xfId="0" applyFont="1" applyFill="1" applyBorder="1" applyAlignment="1">
      <alignment horizontal="right"/>
    </xf>
    <xf numFmtId="0" fontId="9" fillId="7" borderId="18" xfId="0" applyFont="1" applyFill="1" applyBorder="1"/>
    <xf numFmtId="0" fontId="8" fillId="7" borderId="18" xfId="0" applyFont="1" applyFill="1" applyBorder="1" applyAlignment="1">
      <alignment horizontal="left"/>
    </xf>
    <xf numFmtId="0" fontId="14" fillId="7" borderId="18" xfId="0" applyFont="1" applyFill="1" applyBorder="1"/>
    <xf numFmtId="0" fontId="9" fillId="7" borderId="18" xfId="0" applyFont="1" applyFill="1" applyBorder="1" applyAlignment="1">
      <alignment horizontal="right"/>
    </xf>
    <xf numFmtId="0" fontId="9" fillId="7" borderId="18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24" fillId="0" borderId="0" xfId="0" applyFont="1" applyAlignment="1">
      <alignment horizontal="center"/>
    </xf>
  </cellXfs>
  <cellStyles count="2">
    <cellStyle name="標準" xfId="0" builtinId="0"/>
    <cellStyle name="標準 7 5" xfId="1" xr:uid="{129078A7-95A9-478C-8711-03DE1ABFD5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95249</xdr:colOff>
      <xdr:row>45</xdr:row>
      <xdr:rowOff>160111</xdr:rowOff>
    </xdr:from>
    <xdr:to>
      <xdr:col>11</xdr:col>
      <xdr:colOff>425804</xdr:colOff>
      <xdr:row>63</xdr:row>
      <xdr:rowOff>65566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CE7DF0D-DA03-A0BB-92F8-C523801F3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28" y="12801147"/>
          <a:ext cx="11960679" cy="50489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272143</xdr:rowOff>
    </xdr:from>
    <xdr:to>
      <xdr:col>11</xdr:col>
      <xdr:colOff>255561</xdr:colOff>
      <xdr:row>142</xdr:row>
      <xdr:rowOff>197331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91FE62D-E4BA-6819-3CC9-99BA62CB9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179" y="30697714"/>
          <a:ext cx="11898385" cy="99454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602111</xdr:colOff>
      <xdr:row>8</xdr:row>
      <xdr:rowOff>240039</xdr:rowOff>
    </xdr:from>
    <xdr:ext cx="1401314" cy="186135"/>
    <xdr:pic>
      <xdr:nvPicPr>
        <xdr:cNvPr id="2" name="図 1">
          <a:extLst>
            <a:ext uri="{FF2B5EF4-FFF2-40B4-BE49-F238E27FC236}">
              <a16:creationId xmlns:a16="http://schemas.microsoft.com/office/drawing/2014/main" id="{79993AD2-0276-46FA-934A-9451FF7F3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611" y="2754639"/>
          <a:ext cx="1401314" cy="186135"/>
        </a:xfrm>
        <a:prstGeom prst="rect">
          <a:avLst/>
        </a:prstGeom>
      </xdr:spPr>
    </xdr:pic>
    <xdr:clientData/>
  </xdr:oneCellAnchor>
  <xdr:oneCellAnchor>
    <xdr:from>
      <xdr:col>5</xdr:col>
      <xdr:colOff>27436</xdr:colOff>
      <xdr:row>14</xdr:row>
      <xdr:rowOff>83271</xdr:rowOff>
    </xdr:from>
    <xdr:ext cx="1553714" cy="206378"/>
    <xdr:pic>
      <xdr:nvPicPr>
        <xdr:cNvPr id="4" name="図 3">
          <a:extLst>
            <a:ext uri="{FF2B5EF4-FFF2-40B4-BE49-F238E27FC236}">
              <a16:creationId xmlns:a16="http://schemas.microsoft.com/office/drawing/2014/main" id="{A1731C74-0E51-4841-975D-C646954BC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5736" y="5836371"/>
          <a:ext cx="1553714" cy="206378"/>
        </a:xfrm>
        <a:prstGeom prst="rect">
          <a:avLst/>
        </a:prstGeom>
      </xdr:spPr>
    </xdr:pic>
    <xdr:clientData/>
  </xdr:oneCellAnchor>
  <xdr:oneCellAnchor>
    <xdr:from>
      <xdr:col>5</xdr:col>
      <xdr:colOff>11561</xdr:colOff>
      <xdr:row>16</xdr:row>
      <xdr:rowOff>57871</xdr:rowOff>
    </xdr:from>
    <xdr:ext cx="1553714" cy="206378"/>
    <xdr:pic>
      <xdr:nvPicPr>
        <xdr:cNvPr id="5" name="図 4">
          <a:extLst>
            <a:ext uri="{FF2B5EF4-FFF2-40B4-BE49-F238E27FC236}">
              <a16:creationId xmlns:a16="http://schemas.microsoft.com/office/drawing/2014/main" id="{7AFC4A74-F0D9-4A32-B92F-50EBAF2B8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9861" y="6534871"/>
          <a:ext cx="1553714" cy="206378"/>
        </a:xfrm>
        <a:prstGeom prst="rect">
          <a:avLst/>
        </a:prstGeom>
      </xdr:spPr>
    </xdr:pic>
    <xdr:clientData/>
  </xdr:oneCellAnchor>
  <xdr:oneCellAnchor>
    <xdr:from>
      <xdr:col>2</xdr:col>
      <xdr:colOff>602111</xdr:colOff>
      <xdr:row>31</xdr:row>
      <xdr:rowOff>240039</xdr:rowOff>
    </xdr:from>
    <xdr:ext cx="1401314" cy="186135"/>
    <xdr:pic>
      <xdr:nvPicPr>
        <xdr:cNvPr id="6" name="図 5">
          <a:extLst>
            <a:ext uri="{FF2B5EF4-FFF2-40B4-BE49-F238E27FC236}">
              <a16:creationId xmlns:a16="http://schemas.microsoft.com/office/drawing/2014/main" id="{7A6F58A8-3427-4CF7-99B5-6EF81B8DA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1436" y="2740578"/>
          <a:ext cx="1401314" cy="186135"/>
        </a:xfrm>
        <a:prstGeom prst="rect">
          <a:avLst/>
        </a:prstGeom>
      </xdr:spPr>
    </xdr:pic>
    <xdr:clientData/>
  </xdr:oneCellAnchor>
  <xdr:oneCellAnchor>
    <xdr:from>
      <xdr:col>5</xdr:col>
      <xdr:colOff>27436</xdr:colOff>
      <xdr:row>37</xdr:row>
      <xdr:rowOff>83271</xdr:rowOff>
    </xdr:from>
    <xdr:ext cx="1553714" cy="206378"/>
    <xdr:pic>
      <xdr:nvPicPr>
        <xdr:cNvPr id="7" name="図 6">
          <a:extLst>
            <a:ext uri="{FF2B5EF4-FFF2-40B4-BE49-F238E27FC236}">
              <a16:creationId xmlns:a16="http://schemas.microsoft.com/office/drawing/2014/main" id="{2DBCD2D7-ED19-422B-92B8-280778E26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6361" y="4467946"/>
          <a:ext cx="1553714" cy="206378"/>
        </a:xfrm>
        <a:prstGeom prst="rect">
          <a:avLst/>
        </a:prstGeom>
      </xdr:spPr>
    </xdr:pic>
    <xdr:clientData/>
  </xdr:oneCellAnchor>
  <xdr:oneCellAnchor>
    <xdr:from>
      <xdr:col>5</xdr:col>
      <xdr:colOff>11561</xdr:colOff>
      <xdr:row>39</xdr:row>
      <xdr:rowOff>57871</xdr:rowOff>
    </xdr:from>
    <xdr:ext cx="1553714" cy="206378"/>
    <xdr:pic>
      <xdr:nvPicPr>
        <xdr:cNvPr id="8" name="図 7">
          <a:extLst>
            <a:ext uri="{FF2B5EF4-FFF2-40B4-BE49-F238E27FC236}">
              <a16:creationId xmlns:a16="http://schemas.microsoft.com/office/drawing/2014/main" id="{5775EC41-E21D-4BA0-9D2C-3EB515441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4136" y="5065300"/>
          <a:ext cx="1553714" cy="20637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25400</xdr:colOff>
      <xdr:row>13</xdr:row>
      <xdr:rowOff>76200</xdr:rowOff>
    </xdr:from>
    <xdr:to>
      <xdr:col>11</xdr:col>
      <xdr:colOff>911393</xdr:colOff>
      <xdr:row>13</xdr:row>
      <xdr:rowOff>266727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2342C7B-9229-0600-7B60-E0349C352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5575" y="3914775"/>
          <a:ext cx="1200318" cy="190527"/>
        </a:xfrm>
        <a:prstGeom prst="rect">
          <a:avLst/>
        </a:prstGeom>
      </xdr:spPr>
    </xdr:pic>
    <xdr:clientData/>
  </xdr:twoCellAnchor>
  <xdr:twoCellAnchor editAs="oneCell">
    <xdr:from>
      <xdr:col>10</xdr:col>
      <xdr:colOff>6350</xdr:colOff>
      <xdr:row>14</xdr:row>
      <xdr:rowOff>63500</xdr:rowOff>
    </xdr:from>
    <xdr:to>
      <xdr:col>11</xdr:col>
      <xdr:colOff>882818</xdr:colOff>
      <xdr:row>14</xdr:row>
      <xdr:rowOff>257202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C8A8A4C-00BE-41D2-A83E-8CA1AD87F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6525" y="4197350"/>
          <a:ext cx="1190793" cy="193702"/>
        </a:xfrm>
        <a:prstGeom prst="rect">
          <a:avLst/>
        </a:prstGeom>
      </xdr:spPr>
    </xdr:pic>
    <xdr:clientData/>
  </xdr:twoCellAnchor>
  <xdr:twoCellAnchor editAs="oneCell">
    <xdr:from>
      <xdr:col>10</xdr:col>
      <xdr:colOff>6350</xdr:colOff>
      <xdr:row>16</xdr:row>
      <xdr:rowOff>73025</xdr:rowOff>
    </xdr:from>
    <xdr:to>
      <xdr:col>11</xdr:col>
      <xdr:colOff>882818</xdr:colOff>
      <xdr:row>16</xdr:row>
      <xdr:rowOff>263552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746F668-A768-49AA-923E-AC0657563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6525" y="4797425"/>
          <a:ext cx="1190793" cy="190527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</xdr:colOff>
      <xdr:row>15</xdr:row>
      <xdr:rowOff>76200</xdr:rowOff>
    </xdr:from>
    <xdr:to>
      <xdr:col>11</xdr:col>
      <xdr:colOff>895518</xdr:colOff>
      <xdr:row>15</xdr:row>
      <xdr:rowOff>266727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C5A10C9-FD7D-4FF3-BF6C-0D033BEEC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9225" y="4505325"/>
          <a:ext cx="1190793" cy="190527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7</xdr:row>
      <xdr:rowOff>73025</xdr:rowOff>
    </xdr:from>
    <xdr:to>
      <xdr:col>7</xdr:col>
      <xdr:colOff>63668</xdr:colOff>
      <xdr:row>7</xdr:row>
      <xdr:rowOff>263552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0649528-AE55-4F15-BDC6-5FDA24A20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4725" y="2139950"/>
          <a:ext cx="1190793" cy="1905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368300</xdr:colOff>
      <xdr:row>2</xdr:row>
      <xdr:rowOff>57150</xdr:rowOff>
    </xdr:from>
    <xdr:to>
      <xdr:col>35</xdr:col>
      <xdr:colOff>516480</xdr:colOff>
      <xdr:row>23</xdr:row>
      <xdr:rowOff>140430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AE85F45-EC41-8DBC-E807-2B5CF6554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3575" y="514350"/>
          <a:ext cx="15264355" cy="5226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206"/>
  <sheetViews>
    <sheetView tabSelected="1" zoomScale="85" zoomScaleNormal="85" workbookViewId="0">
      <selection activeCell="R19" sqref="R19"/>
    </sheetView>
  </sheetViews>
  <sheetFormatPr defaultColWidth="9.33203125" defaultRowHeight="22.5"/>
  <cols>
    <col min="1" max="1" width="9.33203125" style="6"/>
    <col min="2" max="2" width="12.33203125" style="19" customWidth="1"/>
    <col min="3" max="3" width="15.75" style="6" customWidth="1"/>
    <col min="4" max="4" width="11.5" style="6" customWidth="1"/>
    <col min="5" max="5" width="30.25" style="6" bestFit="1" customWidth="1"/>
    <col min="6" max="6" width="24.75" style="48" bestFit="1" customWidth="1"/>
    <col min="7" max="7" width="20.08203125" style="6" bestFit="1" customWidth="1"/>
    <col min="8" max="14" width="9.33203125" style="6"/>
    <col min="15" max="15" width="16" style="6" bestFit="1" customWidth="1"/>
    <col min="16" max="16" width="9.33203125" style="6"/>
    <col min="17" max="17" width="20.5" style="6" bestFit="1" customWidth="1"/>
    <col min="18" max="33" width="9.33203125" style="6"/>
    <col min="34" max="34" width="16.08203125" style="6" customWidth="1"/>
    <col min="35" max="16384" width="9.33203125" style="6"/>
  </cols>
  <sheetData>
    <row r="1" spans="2:11">
      <c r="E1" s="7" t="s">
        <v>270</v>
      </c>
    </row>
    <row r="3" spans="2:11" s="166" customFormat="1" ht="23" thickBot="1">
      <c r="B3" s="167"/>
      <c r="C3" s="168" t="s">
        <v>0</v>
      </c>
      <c r="F3" s="169"/>
      <c r="J3" s="168"/>
    </row>
    <row r="4" spans="2:11" ht="23" thickTop="1">
      <c r="B4" s="21"/>
      <c r="C4" s="164"/>
      <c r="D4" s="164"/>
      <c r="E4" s="164"/>
      <c r="F4" s="165"/>
      <c r="G4" s="164"/>
      <c r="H4" s="164"/>
      <c r="I4" s="164"/>
      <c r="J4" s="164"/>
      <c r="K4" s="14"/>
    </row>
    <row r="5" spans="2:11">
      <c r="B5" s="21"/>
      <c r="C5" s="6" t="s">
        <v>42</v>
      </c>
      <c r="E5" s="8"/>
      <c r="F5" s="50" t="s">
        <v>52</v>
      </c>
      <c r="G5" s="6" t="s">
        <v>43</v>
      </c>
      <c r="I5" s="8"/>
      <c r="J5" s="11" t="s">
        <v>52</v>
      </c>
      <c r="K5" s="14"/>
    </row>
    <row r="6" spans="2:11">
      <c r="B6" s="21"/>
      <c r="F6" s="50"/>
      <c r="K6" s="14"/>
    </row>
    <row r="7" spans="2:11">
      <c r="B7" s="21"/>
      <c r="C7" s="6" t="s">
        <v>44</v>
      </c>
      <c r="E7" s="6" t="s">
        <v>45</v>
      </c>
      <c r="F7" s="48" t="s">
        <v>46</v>
      </c>
      <c r="K7" s="14"/>
    </row>
    <row r="8" spans="2:11">
      <c r="B8" s="21"/>
      <c r="C8" s="6" t="s">
        <v>47</v>
      </c>
      <c r="E8" s="6" t="s">
        <v>48</v>
      </c>
      <c r="F8" s="48" t="s">
        <v>46</v>
      </c>
      <c r="K8" s="14"/>
    </row>
    <row r="9" spans="2:11">
      <c r="B9" s="21"/>
      <c r="C9" s="6" t="s">
        <v>49</v>
      </c>
      <c r="E9" s="6" t="s">
        <v>45</v>
      </c>
      <c r="F9" s="48" t="s">
        <v>46</v>
      </c>
      <c r="K9" s="14"/>
    </row>
    <row r="10" spans="2:11">
      <c r="B10" s="21"/>
      <c r="C10" s="6" t="s">
        <v>50</v>
      </c>
      <c r="K10" s="14"/>
    </row>
    <row r="11" spans="2:11">
      <c r="B11" s="21"/>
      <c r="C11" s="6" t="s">
        <v>51</v>
      </c>
      <c r="E11" s="8"/>
      <c r="F11" s="50" t="s">
        <v>52</v>
      </c>
      <c r="G11" s="6" t="s">
        <v>53</v>
      </c>
      <c r="H11" s="8"/>
      <c r="I11" s="11" t="s">
        <v>52</v>
      </c>
      <c r="K11" s="14"/>
    </row>
    <row r="12" spans="2:11">
      <c r="B12" s="21"/>
      <c r="C12" s="6" t="s">
        <v>54</v>
      </c>
      <c r="E12" s="8"/>
      <c r="F12" s="50" t="s">
        <v>52</v>
      </c>
      <c r="G12" s="6" t="s">
        <v>53</v>
      </c>
      <c r="H12" s="8"/>
      <c r="I12" s="11" t="s">
        <v>52</v>
      </c>
      <c r="K12" s="14"/>
    </row>
    <row r="13" spans="2:11">
      <c r="B13" s="21"/>
      <c r="C13" s="6" t="s">
        <v>55</v>
      </c>
      <c r="E13" s="8"/>
      <c r="F13" s="50" t="s">
        <v>52</v>
      </c>
      <c r="G13" s="6" t="s">
        <v>53</v>
      </c>
      <c r="H13" s="8"/>
      <c r="I13" s="11" t="s">
        <v>52</v>
      </c>
      <c r="K13" s="14"/>
    </row>
    <row r="14" spans="2:11">
      <c r="B14" s="21"/>
      <c r="C14" s="6" t="s">
        <v>56</v>
      </c>
      <c r="F14" s="48" t="s">
        <v>57</v>
      </c>
      <c r="H14" s="6" t="s">
        <v>53</v>
      </c>
      <c r="I14" s="6" t="s">
        <v>57</v>
      </c>
      <c r="K14" s="14"/>
    </row>
    <row r="15" spans="2:11">
      <c r="B15" s="21"/>
      <c r="C15" s="6" t="s">
        <v>58</v>
      </c>
      <c r="E15" s="6" t="s">
        <v>45</v>
      </c>
      <c r="F15" s="48" t="s">
        <v>46</v>
      </c>
      <c r="K15" s="14"/>
    </row>
    <row r="16" spans="2:11">
      <c r="B16" s="21"/>
      <c r="K16" s="14"/>
    </row>
    <row r="17" spans="2:11">
      <c r="B17" s="21"/>
      <c r="K17" s="14"/>
    </row>
    <row r="18" spans="2:11" s="9" customFormat="1">
      <c r="B18" s="21"/>
      <c r="C18" s="10" t="s">
        <v>59</v>
      </c>
      <c r="E18" s="10" t="s">
        <v>60</v>
      </c>
      <c r="F18" s="48"/>
      <c r="G18" s="10" t="s">
        <v>61</v>
      </c>
      <c r="J18" s="10" t="s">
        <v>62</v>
      </c>
      <c r="K18" s="16"/>
    </row>
    <row r="19" spans="2:11">
      <c r="B19" s="21"/>
      <c r="K19" s="14"/>
    </row>
    <row r="20" spans="2:11" ht="23" thickBot="1">
      <c r="B20" s="22"/>
      <c r="C20" s="17"/>
      <c r="D20" s="17"/>
      <c r="E20" s="17"/>
      <c r="F20" s="51"/>
      <c r="G20" s="17"/>
      <c r="H20" s="17"/>
      <c r="I20" s="17"/>
      <c r="J20" s="17"/>
      <c r="K20" s="18"/>
    </row>
    <row r="23" spans="2:11" s="166" customFormat="1" ht="23" thickBot="1">
      <c r="B23" s="167"/>
      <c r="C23" s="168" t="s">
        <v>1</v>
      </c>
      <c r="F23" s="169"/>
    </row>
    <row r="24" spans="2:11" ht="23" thickTop="1">
      <c r="B24" s="21"/>
      <c r="C24" s="164"/>
      <c r="D24" s="164"/>
      <c r="E24" s="164"/>
      <c r="F24" s="165"/>
      <c r="G24" s="164"/>
      <c r="H24" s="164"/>
      <c r="I24" s="164"/>
      <c r="J24" s="164"/>
      <c r="K24" s="14"/>
    </row>
    <row r="25" spans="2:11">
      <c r="B25" s="21"/>
      <c r="C25" s="6" t="s">
        <v>42</v>
      </c>
      <c r="E25" s="8"/>
      <c r="F25" s="50" t="s">
        <v>52</v>
      </c>
      <c r="G25" s="6" t="s">
        <v>43</v>
      </c>
      <c r="I25" s="8"/>
      <c r="J25" s="11" t="s">
        <v>52</v>
      </c>
      <c r="K25" s="14"/>
    </row>
    <row r="26" spans="2:11">
      <c r="B26" s="21"/>
      <c r="F26" s="50"/>
      <c r="K26" s="14"/>
    </row>
    <row r="27" spans="2:11">
      <c r="B27" s="21"/>
      <c r="K27" s="14"/>
    </row>
    <row r="28" spans="2:11">
      <c r="B28" s="21"/>
      <c r="C28" s="6" t="s">
        <v>47</v>
      </c>
      <c r="E28" s="6" t="s">
        <v>48</v>
      </c>
      <c r="F28" s="48" t="s">
        <v>46</v>
      </c>
      <c r="K28" s="14"/>
    </row>
    <row r="29" spans="2:11">
      <c r="B29" s="21" t="s">
        <v>63</v>
      </c>
      <c r="C29" s="6" t="s">
        <v>49</v>
      </c>
      <c r="E29" s="6" t="s">
        <v>64</v>
      </c>
      <c r="F29" s="48" t="s">
        <v>46</v>
      </c>
      <c r="K29" s="14"/>
    </row>
    <row r="30" spans="2:11">
      <c r="B30" s="21"/>
      <c r="K30" s="14"/>
    </row>
    <row r="31" spans="2:11">
      <c r="B31" s="21"/>
      <c r="C31" s="6" t="s">
        <v>51</v>
      </c>
      <c r="E31" s="8"/>
      <c r="F31" s="50" t="s">
        <v>52</v>
      </c>
      <c r="G31" s="6" t="s">
        <v>53</v>
      </c>
      <c r="H31" s="8"/>
      <c r="I31" s="11" t="s">
        <v>52</v>
      </c>
      <c r="K31" s="14"/>
    </row>
    <row r="32" spans="2:11">
      <c r="B32" s="21"/>
      <c r="C32" s="6" t="s">
        <v>54</v>
      </c>
      <c r="E32" s="8"/>
      <c r="F32" s="50" t="s">
        <v>52</v>
      </c>
      <c r="G32" s="6" t="s">
        <v>53</v>
      </c>
      <c r="H32" s="8"/>
      <c r="I32" s="11" t="s">
        <v>52</v>
      </c>
      <c r="K32" s="14"/>
    </row>
    <row r="33" spans="2:15">
      <c r="B33" s="21"/>
      <c r="C33" s="6" t="s">
        <v>55</v>
      </c>
      <c r="E33" s="8"/>
      <c r="F33" s="50" t="s">
        <v>52</v>
      </c>
      <c r="G33" s="6" t="s">
        <v>53</v>
      </c>
      <c r="H33" s="8"/>
      <c r="I33" s="11" t="s">
        <v>52</v>
      </c>
      <c r="K33" s="14"/>
    </row>
    <row r="34" spans="2:15">
      <c r="B34" s="21"/>
      <c r="C34" s="6" t="s">
        <v>65</v>
      </c>
      <c r="E34" s="6">
        <v>4</v>
      </c>
      <c r="F34" s="48" t="s">
        <v>66</v>
      </c>
      <c r="K34" s="14"/>
    </row>
    <row r="35" spans="2:15">
      <c r="B35" s="21"/>
      <c r="C35" s="6" t="s">
        <v>67</v>
      </c>
      <c r="E35" s="6">
        <v>1</v>
      </c>
      <c r="F35" s="48" t="s">
        <v>68</v>
      </c>
      <c r="G35" s="6">
        <v>10000</v>
      </c>
      <c r="H35" s="6" t="s">
        <v>69</v>
      </c>
      <c r="K35" s="14"/>
    </row>
    <row r="36" spans="2:15">
      <c r="B36" s="21" t="s">
        <v>63</v>
      </c>
      <c r="C36" s="6" t="s">
        <v>70</v>
      </c>
      <c r="E36" s="6" t="s">
        <v>71</v>
      </c>
      <c r="F36" s="48" t="s">
        <v>46</v>
      </c>
      <c r="K36" s="14"/>
    </row>
    <row r="37" spans="2:15">
      <c r="B37" s="21"/>
      <c r="K37" s="14"/>
    </row>
    <row r="38" spans="2:15" s="9" customFormat="1">
      <c r="B38" s="21"/>
      <c r="C38" s="10" t="s">
        <v>72</v>
      </c>
      <c r="E38" s="10" t="s">
        <v>60</v>
      </c>
      <c r="F38" s="48"/>
      <c r="G38" s="6"/>
      <c r="J38" s="10" t="s">
        <v>62</v>
      </c>
      <c r="K38" s="16"/>
    </row>
    <row r="39" spans="2:15">
      <c r="B39" s="21"/>
      <c r="K39" s="14"/>
    </row>
    <row r="40" spans="2:15" ht="23" thickBot="1">
      <c r="B40" s="22"/>
      <c r="C40" s="17"/>
      <c r="D40" s="17"/>
      <c r="E40" s="17"/>
      <c r="F40" s="51"/>
      <c r="G40" s="17"/>
      <c r="H40" s="17"/>
      <c r="I40" s="17"/>
      <c r="J40" s="17"/>
      <c r="K40" s="18"/>
    </row>
    <row r="44" spans="2:15" s="166" customFormat="1" ht="23" thickBot="1">
      <c r="B44" s="167"/>
      <c r="C44" s="168" t="s">
        <v>1</v>
      </c>
      <c r="E44" s="170" t="s">
        <v>138</v>
      </c>
      <c r="F44" s="169"/>
    </row>
    <row r="45" spans="2:15" ht="23" thickTop="1">
      <c r="B45" s="141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3"/>
    </row>
    <row r="46" spans="2:15">
      <c r="B46" s="144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6"/>
    </row>
    <row r="47" spans="2:15">
      <c r="B47" s="144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6"/>
    </row>
    <row r="48" spans="2:15">
      <c r="B48" s="144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6"/>
    </row>
    <row r="49" spans="2:15">
      <c r="B49" s="144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6"/>
    </row>
    <row r="50" spans="2:15">
      <c r="B50" s="144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6"/>
    </row>
    <row r="51" spans="2:15">
      <c r="B51" s="144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6"/>
    </row>
    <row r="52" spans="2:15">
      <c r="B52" s="144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6"/>
    </row>
    <row r="53" spans="2:15">
      <c r="B53" s="144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6"/>
    </row>
    <row r="54" spans="2:15">
      <c r="B54" s="144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6"/>
    </row>
    <row r="55" spans="2:15">
      <c r="B55" s="144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6"/>
    </row>
    <row r="56" spans="2:15">
      <c r="B56" s="144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6"/>
    </row>
    <row r="57" spans="2:15">
      <c r="B57" s="144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6"/>
    </row>
    <row r="58" spans="2:15">
      <c r="B58" s="144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6"/>
    </row>
    <row r="59" spans="2:15">
      <c r="B59" s="144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6"/>
    </row>
    <row r="60" spans="2:15">
      <c r="B60" s="144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6"/>
    </row>
    <row r="61" spans="2:15">
      <c r="B61" s="144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6"/>
    </row>
    <row r="62" spans="2:15">
      <c r="B62" s="144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6"/>
    </row>
    <row r="63" spans="2:15">
      <c r="B63" s="144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6"/>
    </row>
    <row r="64" spans="2:15" ht="23" thickBot="1">
      <c r="B64" s="147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9"/>
    </row>
    <row r="67" spans="2:11" s="166" customFormat="1" ht="23" thickBot="1">
      <c r="B67" s="167"/>
      <c r="C67" s="168" t="s">
        <v>2</v>
      </c>
      <c r="F67" s="169"/>
    </row>
    <row r="68" spans="2:11" ht="23" thickTop="1">
      <c r="B68" s="21"/>
      <c r="C68" s="164"/>
      <c r="D68" s="164"/>
      <c r="E68" s="164"/>
      <c r="F68" s="165"/>
      <c r="G68" s="164"/>
      <c r="H68" s="164"/>
      <c r="I68" s="164"/>
      <c r="J68" s="164"/>
      <c r="K68" s="14"/>
    </row>
    <row r="69" spans="2:11">
      <c r="B69" s="21"/>
      <c r="C69" s="6" t="s">
        <v>42</v>
      </c>
      <c r="E69" s="8"/>
      <c r="F69" s="50" t="s">
        <v>52</v>
      </c>
      <c r="G69" s="6" t="s">
        <v>43</v>
      </c>
      <c r="I69" s="8"/>
      <c r="J69" s="11" t="s">
        <v>52</v>
      </c>
      <c r="K69" s="14"/>
    </row>
    <row r="70" spans="2:11">
      <c r="B70" s="21"/>
      <c r="F70" s="50"/>
      <c r="K70" s="14"/>
    </row>
    <row r="71" spans="2:11">
      <c r="B71" s="21"/>
      <c r="K71" s="14"/>
    </row>
    <row r="72" spans="2:11">
      <c r="B72" s="21" t="s">
        <v>63</v>
      </c>
      <c r="C72" s="6" t="s">
        <v>47</v>
      </c>
      <c r="E72" s="6" t="s">
        <v>48</v>
      </c>
      <c r="F72" s="48" t="s">
        <v>46</v>
      </c>
      <c r="K72" s="14"/>
    </row>
    <row r="73" spans="2:11">
      <c r="B73" s="21" t="s">
        <v>63</v>
      </c>
      <c r="C73" s="6" t="s">
        <v>49</v>
      </c>
      <c r="E73" s="6" t="s">
        <v>64</v>
      </c>
      <c r="F73" s="48" t="s">
        <v>46</v>
      </c>
      <c r="K73" s="14"/>
    </row>
    <row r="74" spans="2:11">
      <c r="B74" s="21"/>
      <c r="C74" s="6" t="s">
        <v>51</v>
      </c>
      <c r="E74" s="8">
        <v>10000000</v>
      </c>
      <c r="F74" s="50" t="s">
        <v>52</v>
      </c>
      <c r="G74" s="6" t="s">
        <v>53</v>
      </c>
      <c r="H74" s="8">
        <v>900000</v>
      </c>
      <c r="I74" s="11" t="s">
        <v>52</v>
      </c>
      <c r="K74" s="14"/>
    </row>
    <row r="75" spans="2:11">
      <c r="B75" s="21"/>
      <c r="E75" s="34"/>
      <c r="F75"/>
      <c r="G75"/>
      <c r="K75" s="14"/>
    </row>
    <row r="76" spans="2:11">
      <c r="B76" s="21"/>
      <c r="K76" s="14"/>
    </row>
    <row r="77" spans="2:11">
      <c r="B77" s="21"/>
      <c r="K77" s="14"/>
    </row>
    <row r="78" spans="2:11">
      <c r="B78" s="21"/>
      <c r="K78" s="14"/>
    </row>
    <row r="79" spans="2:11">
      <c r="B79" s="21"/>
      <c r="K79" s="14"/>
    </row>
    <row r="80" spans="2:11">
      <c r="B80" s="21"/>
      <c r="K80" s="14"/>
    </row>
    <row r="81" spans="2:17">
      <c r="B81" s="21"/>
      <c r="K81" s="14"/>
      <c r="O81" s="47"/>
      <c r="Q81" s="47"/>
    </row>
    <row r="82" spans="2:17">
      <c r="B82" s="21"/>
      <c r="C82" s="10" t="s">
        <v>59</v>
      </c>
      <c r="D82" s="9"/>
      <c r="E82" s="10" t="s">
        <v>60</v>
      </c>
      <c r="H82" s="9"/>
      <c r="I82" s="9"/>
      <c r="J82" s="10" t="s">
        <v>62</v>
      </c>
      <c r="K82" s="16"/>
      <c r="O82" s="47"/>
      <c r="Q82" s="47"/>
    </row>
    <row r="83" spans="2:17">
      <c r="B83" s="21"/>
      <c r="K83" s="14"/>
      <c r="O83" s="47"/>
      <c r="Q83" s="47"/>
    </row>
    <row r="84" spans="2:17" ht="23" thickBot="1">
      <c r="B84" s="22"/>
      <c r="C84" s="17"/>
      <c r="D84" s="17"/>
      <c r="E84" s="17"/>
      <c r="F84" s="51"/>
      <c r="G84" s="17"/>
      <c r="H84" s="17"/>
      <c r="I84" s="17"/>
      <c r="J84" s="17"/>
      <c r="K84" s="18"/>
      <c r="O84" s="47"/>
      <c r="Q84" s="47"/>
    </row>
    <row r="85" spans="2:17">
      <c r="O85" s="47"/>
      <c r="Q85" s="47"/>
    </row>
    <row r="87" spans="2:17" s="168" customFormat="1" ht="23" thickBot="1">
      <c r="B87" s="171"/>
      <c r="C87" s="168" t="s">
        <v>2</v>
      </c>
      <c r="F87" s="172"/>
    </row>
    <row r="88" spans="2:17" ht="23" thickTop="1">
      <c r="B88" s="21"/>
      <c r="C88" s="164"/>
      <c r="D88" s="164"/>
      <c r="E88" s="164"/>
      <c r="F88" s="165"/>
      <c r="G88" s="164"/>
      <c r="H88" s="164"/>
      <c r="I88" s="164"/>
      <c r="J88" s="164"/>
      <c r="K88" s="14"/>
    </row>
    <row r="89" spans="2:17">
      <c r="B89" s="21"/>
      <c r="C89" s="6" t="s">
        <v>42</v>
      </c>
      <c r="E89" s="8"/>
      <c r="F89" s="50" t="s">
        <v>52</v>
      </c>
      <c r="G89" s="6" t="s">
        <v>43</v>
      </c>
      <c r="I89" s="8"/>
      <c r="J89" s="11" t="s">
        <v>52</v>
      </c>
      <c r="K89" s="14"/>
    </row>
    <row r="90" spans="2:17">
      <c r="B90" s="21" t="s">
        <v>63</v>
      </c>
      <c r="C90" s="6" t="s">
        <v>49</v>
      </c>
      <c r="E90" s="6" t="s">
        <v>64</v>
      </c>
      <c r="K90" s="14"/>
    </row>
    <row r="91" spans="2:17">
      <c r="B91" s="21" t="s">
        <v>63</v>
      </c>
      <c r="C91" s="6" t="s">
        <v>47</v>
      </c>
      <c r="E91" s="6" t="s">
        <v>48</v>
      </c>
      <c r="K91" s="14"/>
    </row>
    <row r="92" spans="2:17">
      <c r="B92" s="21"/>
      <c r="C92" s="6" t="s">
        <v>51</v>
      </c>
      <c r="E92" s="8">
        <v>10000000</v>
      </c>
      <c r="F92" s="50" t="s">
        <v>52</v>
      </c>
      <c r="G92" s="6" t="s">
        <v>53</v>
      </c>
      <c r="H92" s="8">
        <v>900000</v>
      </c>
      <c r="I92" s="11" t="s">
        <v>52</v>
      </c>
      <c r="K92" s="14"/>
    </row>
    <row r="93" spans="2:17">
      <c r="B93" s="21"/>
      <c r="K93" s="14"/>
    </row>
    <row r="94" spans="2:17">
      <c r="B94" s="21" t="s">
        <v>144</v>
      </c>
      <c r="C94" s="19" t="s">
        <v>145</v>
      </c>
      <c r="D94" s="6" t="s">
        <v>46</v>
      </c>
      <c r="J94" s="6" t="s">
        <v>146</v>
      </c>
      <c r="K94" s="14"/>
    </row>
    <row r="95" spans="2:17">
      <c r="B95" s="15" t="s">
        <v>147</v>
      </c>
      <c r="C95" s="9" t="s">
        <v>51</v>
      </c>
      <c r="D95" s="6" t="s">
        <v>150</v>
      </c>
      <c r="E95" s="6" t="s">
        <v>98</v>
      </c>
      <c r="F95" s="52" t="s">
        <v>92</v>
      </c>
      <c r="G95" s="47" t="s">
        <v>93</v>
      </c>
      <c r="H95" s="6" t="s">
        <v>148</v>
      </c>
      <c r="J95" s="6" t="s">
        <v>149</v>
      </c>
      <c r="K95" s="14"/>
    </row>
    <row r="96" spans="2:17">
      <c r="B96" s="15">
        <v>1</v>
      </c>
      <c r="C96" s="9">
        <v>100000</v>
      </c>
      <c r="D96" s="6">
        <v>0</v>
      </c>
      <c r="E96" s="6" t="s">
        <v>139</v>
      </c>
      <c r="F96" s="52">
        <v>1234567890</v>
      </c>
      <c r="G96" s="53">
        <v>4901004006677</v>
      </c>
      <c r="H96" s="6" t="s">
        <v>129</v>
      </c>
      <c r="J96" s="54"/>
      <c r="K96" s="14"/>
      <c r="M96" s="54"/>
      <c r="N96" s="6" t="s">
        <v>151</v>
      </c>
    </row>
    <row r="97" spans="2:11">
      <c r="B97" s="15">
        <v>2</v>
      </c>
      <c r="C97" s="9">
        <v>100000</v>
      </c>
      <c r="D97" s="6">
        <v>0</v>
      </c>
      <c r="E97" s="6" t="s">
        <v>140</v>
      </c>
      <c r="F97" s="52">
        <v>1234567891</v>
      </c>
      <c r="G97" s="53">
        <v>4901004006688</v>
      </c>
      <c r="H97" s="6" t="s">
        <v>129</v>
      </c>
      <c r="J97" s="54"/>
      <c r="K97" s="14"/>
    </row>
    <row r="98" spans="2:11">
      <c r="B98" s="15">
        <v>3</v>
      </c>
      <c r="C98" s="9">
        <v>100000</v>
      </c>
      <c r="D98" s="6">
        <v>0</v>
      </c>
      <c r="E98" s="6" t="s">
        <v>142</v>
      </c>
      <c r="F98" s="52">
        <v>1234567892</v>
      </c>
      <c r="G98" s="53">
        <v>4901004006699</v>
      </c>
      <c r="H98" s="6" t="s">
        <v>129</v>
      </c>
      <c r="J98" s="54"/>
      <c r="K98" s="14"/>
    </row>
    <row r="99" spans="2:11">
      <c r="B99" s="15">
        <v>4</v>
      </c>
      <c r="C99" s="9">
        <v>100000</v>
      </c>
      <c r="D99" s="6">
        <v>0</v>
      </c>
      <c r="E99" s="6" t="s">
        <v>143</v>
      </c>
      <c r="F99" s="52">
        <v>1234567893</v>
      </c>
      <c r="G99" s="53">
        <v>4901004006622</v>
      </c>
      <c r="H99" s="6" t="s">
        <v>131</v>
      </c>
      <c r="J99" s="54"/>
      <c r="K99" s="14"/>
    </row>
    <row r="100" spans="2:11">
      <c r="B100" s="15"/>
      <c r="C100" s="9"/>
      <c r="K100" s="14"/>
    </row>
    <row r="101" spans="2:11">
      <c r="B101" s="15"/>
      <c r="C101" s="9"/>
      <c r="K101" s="14"/>
    </row>
    <row r="102" spans="2:11">
      <c r="B102" s="15"/>
      <c r="C102" s="9"/>
      <c r="K102" s="14"/>
    </row>
    <row r="103" spans="2:11">
      <c r="B103" s="21"/>
      <c r="K103" s="16"/>
    </row>
    <row r="104" spans="2:11">
      <c r="B104" s="21"/>
      <c r="K104" s="14"/>
    </row>
    <row r="105" spans="2:11" ht="23" thickBot="1">
      <c r="B105" s="22"/>
      <c r="C105" s="17"/>
      <c r="D105" s="17"/>
      <c r="E105" s="17"/>
      <c r="F105" s="51"/>
      <c r="G105" s="17"/>
      <c r="H105" s="17"/>
      <c r="I105" s="17"/>
      <c r="J105" s="17"/>
      <c r="K105" s="18"/>
    </row>
    <row r="108" spans="2:11" s="166" customFormat="1" ht="23" thickBot="1">
      <c r="B108" s="167"/>
      <c r="C108" s="172" t="s">
        <v>39</v>
      </c>
      <c r="E108" s="170" t="s">
        <v>271</v>
      </c>
      <c r="F108" s="169"/>
    </row>
    <row r="109" spans="2:11" ht="23" thickTop="1"/>
    <row r="145" spans="2:11" s="166" customFormat="1" ht="23" thickBot="1">
      <c r="B145" s="167"/>
      <c r="C145" s="172" t="s">
        <v>40</v>
      </c>
      <c r="F145" s="169"/>
    </row>
    <row r="146" spans="2:11" ht="23" thickTop="1">
      <c r="B146" s="21"/>
      <c r="C146" s="164"/>
      <c r="D146" s="164"/>
      <c r="E146" s="164"/>
      <c r="F146" s="165"/>
      <c r="G146" s="164"/>
      <c r="H146" s="164"/>
      <c r="I146" s="164"/>
      <c r="J146" s="164"/>
      <c r="K146" s="14"/>
    </row>
    <row r="147" spans="2:11">
      <c r="B147" s="21"/>
      <c r="C147" s="6" t="s">
        <v>42</v>
      </c>
      <c r="E147" s="8"/>
      <c r="F147" s="50" t="s">
        <v>52</v>
      </c>
      <c r="G147" s="6" t="s">
        <v>43</v>
      </c>
      <c r="I147" s="8"/>
      <c r="J147" s="11" t="s">
        <v>52</v>
      </c>
      <c r="K147" s="14"/>
    </row>
    <row r="148" spans="2:11">
      <c r="B148" s="21"/>
      <c r="F148" s="50"/>
      <c r="K148" s="14"/>
    </row>
    <row r="149" spans="2:11">
      <c r="B149" s="21"/>
      <c r="C149" s="6" t="s">
        <v>44</v>
      </c>
      <c r="E149" s="8" t="s">
        <v>45</v>
      </c>
      <c r="F149" s="48" t="s">
        <v>46</v>
      </c>
      <c r="K149" s="14"/>
    </row>
    <row r="150" spans="2:11">
      <c r="B150" s="21"/>
      <c r="C150" s="6" t="s">
        <v>47</v>
      </c>
      <c r="E150" s="8" t="s">
        <v>48</v>
      </c>
      <c r="F150" s="48" t="s">
        <v>46</v>
      </c>
      <c r="K150" s="14"/>
    </row>
    <row r="151" spans="2:11">
      <c r="B151" s="21"/>
      <c r="C151" s="6" t="s">
        <v>148</v>
      </c>
      <c r="E151" s="8" t="s">
        <v>45</v>
      </c>
      <c r="F151" s="48" t="s">
        <v>46</v>
      </c>
      <c r="K151" s="14"/>
    </row>
    <row r="152" spans="2:11">
      <c r="B152" s="21"/>
      <c r="C152" s="6" t="s">
        <v>215</v>
      </c>
      <c r="E152" s="8" t="s">
        <v>216</v>
      </c>
      <c r="F152" s="48" t="s">
        <v>46</v>
      </c>
      <c r="K152" s="14"/>
    </row>
    <row r="153" spans="2:11">
      <c r="B153" s="21"/>
      <c r="C153" s="6" t="s">
        <v>49</v>
      </c>
      <c r="E153" s="8"/>
      <c r="F153" s="48" t="s">
        <v>217</v>
      </c>
      <c r="G153" s="6" t="s">
        <v>53</v>
      </c>
      <c r="H153" s="150"/>
      <c r="I153" s="151"/>
      <c r="J153" s="152"/>
      <c r="K153" s="14"/>
    </row>
    <row r="154" spans="2:11">
      <c r="B154" s="21"/>
      <c r="C154" s="6" t="s">
        <v>49</v>
      </c>
      <c r="E154" s="6" t="s">
        <v>64</v>
      </c>
      <c r="F154" s="48" t="s">
        <v>46</v>
      </c>
      <c r="K154" s="14"/>
    </row>
    <row r="155" spans="2:11">
      <c r="B155" s="21"/>
      <c r="C155" s="6" t="s">
        <v>50</v>
      </c>
      <c r="K155" s="14"/>
    </row>
    <row r="156" spans="2:11">
      <c r="B156" s="21"/>
      <c r="C156" s="6" t="s">
        <v>51</v>
      </c>
      <c r="E156" s="8"/>
      <c r="F156" s="50" t="s">
        <v>52</v>
      </c>
      <c r="G156" s="6" t="s">
        <v>53</v>
      </c>
      <c r="H156" s="8"/>
      <c r="I156" s="11" t="s">
        <v>52</v>
      </c>
      <c r="K156" s="14"/>
    </row>
    <row r="157" spans="2:11">
      <c r="B157" s="21"/>
      <c r="C157" s="6" t="s">
        <v>56</v>
      </c>
      <c r="E157" s="8"/>
      <c r="F157" s="48" t="s">
        <v>57</v>
      </c>
      <c r="G157" s="6" t="s">
        <v>53</v>
      </c>
      <c r="H157" s="8"/>
      <c r="I157" s="6" t="s">
        <v>57</v>
      </c>
      <c r="K157" s="14"/>
    </row>
    <row r="158" spans="2:11">
      <c r="B158" s="21"/>
      <c r="C158" s="6" t="s">
        <v>58</v>
      </c>
      <c r="E158" s="8" t="s">
        <v>45</v>
      </c>
      <c r="F158" s="48" t="s">
        <v>46</v>
      </c>
      <c r="K158" s="14"/>
    </row>
    <row r="159" spans="2:11">
      <c r="B159" s="21"/>
      <c r="K159" s="14"/>
    </row>
    <row r="160" spans="2:11">
      <c r="B160" s="21"/>
      <c r="K160" s="14"/>
    </row>
    <row r="161" spans="2:35" s="9" customFormat="1">
      <c r="B161" s="21"/>
      <c r="C161" s="10" t="s">
        <v>59</v>
      </c>
      <c r="E161" s="10" t="s">
        <v>60</v>
      </c>
      <c r="F161" s="48"/>
      <c r="G161" s="6"/>
      <c r="J161" s="10" t="s">
        <v>62</v>
      </c>
      <c r="K161" s="16"/>
    </row>
    <row r="162" spans="2:35">
      <c r="B162" s="21"/>
      <c r="K162" s="14"/>
    </row>
    <row r="163" spans="2:35" ht="23" thickBot="1">
      <c r="B163" s="22"/>
      <c r="C163" s="17"/>
      <c r="D163" s="17"/>
      <c r="E163" s="17"/>
      <c r="F163" s="51"/>
      <c r="G163" s="17"/>
      <c r="H163" s="17"/>
      <c r="I163" s="17"/>
      <c r="J163" s="17"/>
      <c r="K163" s="18"/>
    </row>
    <row r="166" spans="2:35" s="166" customFormat="1" ht="23" thickBot="1">
      <c r="B166" s="167"/>
      <c r="C166" s="172" t="s">
        <v>40</v>
      </c>
      <c r="F166" s="169"/>
    </row>
    <row r="167" spans="2:35" ht="23" thickTop="1">
      <c r="B167" s="21"/>
      <c r="C167" s="173"/>
      <c r="D167" s="164"/>
      <c r="E167" s="164"/>
      <c r="F167" s="165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4"/>
    </row>
    <row r="168" spans="2:35">
      <c r="B168" s="21"/>
      <c r="C168" s="111" t="s">
        <v>218</v>
      </c>
      <c r="D168" s="138" t="s">
        <v>219</v>
      </c>
      <c r="E168" s="8" t="s">
        <v>220</v>
      </c>
      <c r="F168" s="8"/>
      <c r="AI168" s="14"/>
    </row>
    <row r="169" spans="2:35">
      <c r="B169" s="21"/>
      <c r="D169" s="8"/>
      <c r="E169" s="8" t="s">
        <v>221</v>
      </c>
      <c r="F169" s="108"/>
      <c r="AI169" s="14"/>
    </row>
    <row r="170" spans="2:35">
      <c r="B170" s="21"/>
      <c r="D170" s="8"/>
      <c r="E170" s="8" t="s">
        <v>222</v>
      </c>
      <c r="F170" s="109"/>
      <c r="AG170" s="9"/>
      <c r="AI170" s="14"/>
    </row>
    <row r="171" spans="2:35">
      <c r="B171" s="21"/>
      <c r="D171" s="8"/>
      <c r="E171" s="8" t="s">
        <v>223</v>
      </c>
      <c r="F171" s="110"/>
      <c r="AG171" s="9"/>
      <c r="AI171" s="14"/>
    </row>
    <row r="172" spans="2:35">
      <c r="B172" s="21"/>
      <c r="AG172" s="9"/>
      <c r="AI172" s="14"/>
    </row>
    <row r="173" spans="2:35">
      <c r="B173" s="21"/>
      <c r="C173" s="113" t="s">
        <v>224</v>
      </c>
      <c r="D173" s="113" t="s">
        <v>49</v>
      </c>
      <c r="E173" s="113"/>
      <c r="F173" s="114" t="s">
        <v>226</v>
      </c>
      <c r="G173" s="113"/>
      <c r="H173" s="113" t="s">
        <v>227</v>
      </c>
      <c r="I173" s="113"/>
      <c r="J173" s="113"/>
      <c r="K173" s="113" t="s">
        <v>228</v>
      </c>
      <c r="L173" s="113"/>
      <c r="M173" s="113" t="s">
        <v>56</v>
      </c>
      <c r="N173" s="113"/>
      <c r="O173" s="113" t="s">
        <v>44</v>
      </c>
      <c r="P173" s="113" t="s">
        <v>58</v>
      </c>
      <c r="Q173" s="113"/>
      <c r="R173" s="113" t="s">
        <v>231</v>
      </c>
      <c r="S173" s="113"/>
      <c r="T173" s="126" t="s">
        <v>232</v>
      </c>
      <c r="U173" s="113"/>
      <c r="V173" s="113" t="s">
        <v>233</v>
      </c>
      <c r="W173" s="113"/>
      <c r="X173" s="113" t="s">
        <v>234</v>
      </c>
      <c r="Y173" s="113"/>
      <c r="Z173" s="113"/>
      <c r="AA173" s="113" t="s">
        <v>235</v>
      </c>
      <c r="AB173" s="113"/>
      <c r="AC173" s="113"/>
      <c r="AD173" s="113" t="s">
        <v>236</v>
      </c>
      <c r="AE173" s="113"/>
      <c r="AF173" s="113" t="s">
        <v>237</v>
      </c>
      <c r="AG173" s="126" t="s">
        <v>241</v>
      </c>
      <c r="AH173" s="112"/>
      <c r="AI173" s="14"/>
    </row>
    <row r="174" spans="2:35">
      <c r="B174" s="21"/>
      <c r="C174" s="119" t="s">
        <v>225</v>
      </c>
      <c r="D174" s="120" t="s">
        <v>64</v>
      </c>
      <c r="E174" s="119"/>
      <c r="F174" s="121" t="s">
        <v>82</v>
      </c>
      <c r="G174" s="119"/>
      <c r="H174" s="119">
        <v>100000</v>
      </c>
      <c r="I174" s="119"/>
      <c r="J174" s="119"/>
      <c r="K174" s="119">
        <v>90000</v>
      </c>
      <c r="L174" s="119"/>
      <c r="M174" s="119" t="s">
        <v>229</v>
      </c>
      <c r="N174" s="119"/>
      <c r="O174" s="119" t="s">
        <v>230</v>
      </c>
      <c r="P174" s="119" t="s">
        <v>220</v>
      </c>
      <c r="Q174" s="119"/>
      <c r="R174" s="119"/>
      <c r="S174" s="119"/>
      <c r="T174" s="139">
        <v>2345</v>
      </c>
      <c r="U174" s="119"/>
      <c r="V174" s="119">
        <v>0</v>
      </c>
      <c r="W174" s="119"/>
      <c r="X174" s="119">
        <v>656</v>
      </c>
      <c r="Y174" s="119"/>
      <c r="Z174" s="119"/>
      <c r="AA174" s="119">
        <v>0</v>
      </c>
      <c r="AB174" s="119"/>
      <c r="AC174" s="119"/>
      <c r="AD174" s="119">
        <v>200000</v>
      </c>
      <c r="AE174" s="119"/>
      <c r="AF174" s="119">
        <v>0</v>
      </c>
      <c r="AG174" s="127"/>
      <c r="AI174" s="14"/>
    </row>
    <row r="175" spans="2:35">
      <c r="B175" s="21"/>
      <c r="C175" s="119" t="s">
        <v>225</v>
      </c>
      <c r="D175" s="120" t="s">
        <v>238</v>
      </c>
      <c r="E175" s="119"/>
      <c r="F175" s="121" t="s">
        <v>239</v>
      </c>
      <c r="G175" s="119"/>
      <c r="H175" s="119">
        <v>100000</v>
      </c>
      <c r="I175" s="119"/>
      <c r="J175" s="119"/>
      <c r="K175" s="119">
        <v>90000</v>
      </c>
      <c r="L175" s="119"/>
      <c r="M175" s="119" t="s">
        <v>229</v>
      </c>
      <c r="N175" s="119"/>
      <c r="O175" s="119" t="s">
        <v>230</v>
      </c>
      <c r="P175" s="119" t="s">
        <v>240</v>
      </c>
      <c r="Q175" s="119"/>
      <c r="R175" s="125" t="s">
        <v>222</v>
      </c>
      <c r="S175" s="119"/>
      <c r="T175" s="139">
        <v>2345</v>
      </c>
      <c r="U175" s="119"/>
      <c r="V175" s="122">
        <v>2345</v>
      </c>
      <c r="W175" s="119"/>
      <c r="X175" s="119">
        <v>656</v>
      </c>
      <c r="Y175" s="119"/>
      <c r="Z175" s="119"/>
      <c r="AA175" s="119">
        <v>655</v>
      </c>
      <c r="AB175" s="119"/>
      <c r="AC175" s="119"/>
      <c r="AD175" s="119">
        <v>1000</v>
      </c>
      <c r="AE175" s="119"/>
      <c r="AF175" s="119">
        <v>999</v>
      </c>
      <c r="AG175" s="127" t="s">
        <v>242</v>
      </c>
      <c r="AI175" s="14"/>
    </row>
    <row r="176" spans="2:35">
      <c r="B176" s="21"/>
      <c r="C176" s="123"/>
      <c r="D176" s="123"/>
      <c r="E176" s="123"/>
      <c r="F176" s="124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8"/>
      <c r="U176" s="123"/>
      <c r="V176" s="123"/>
      <c r="W176" s="123"/>
      <c r="X176" s="123"/>
      <c r="Y176" s="123"/>
      <c r="Z176" s="123"/>
      <c r="AA176" s="123"/>
      <c r="AB176" s="123"/>
      <c r="AC176" s="123"/>
      <c r="AD176" s="123"/>
      <c r="AE176" s="123"/>
      <c r="AF176" s="123"/>
      <c r="AG176" s="128"/>
      <c r="AI176" s="14"/>
    </row>
    <row r="177" spans="2:35" ht="23" thickBot="1">
      <c r="B177" s="22"/>
      <c r="C177" s="17"/>
      <c r="D177" s="17"/>
      <c r="E177" s="17"/>
      <c r="F177" s="51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46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46"/>
      <c r="AH177" s="17"/>
      <c r="AI177" s="18"/>
    </row>
    <row r="178" spans="2:35">
      <c r="AG178" s="9"/>
    </row>
    <row r="179" spans="2:35" ht="23" thickBot="1">
      <c r="C179" s="106" t="s">
        <v>41</v>
      </c>
      <c r="AG179" s="9"/>
    </row>
    <row r="180" spans="2:35">
      <c r="B180" s="20"/>
      <c r="C180" s="12"/>
      <c r="D180" s="12"/>
      <c r="E180" s="12"/>
      <c r="F180" s="49"/>
      <c r="G180" s="12"/>
      <c r="H180" s="12"/>
      <c r="I180" s="12"/>
      <c r="J180" s="12"/>
      <c r="K180" s="13"/>
      <c r="AG180" s="9"/>
    </row>
    <row r="181" spans="2:35">
      <c r="B181" s="21"/>
      <c r="C181" s="6" t="s">
        <v>42</v>
      </c>
      <c r="E181" s="8"/>
      <c r="F181" s="50" t="s">
        <v>52</v>
      </c>
      <c r="G181" s="6" t="s">
        <v>43</v>
      </c>
      <c r="I181" s="8"/>
      <c r="J181" s="11" t="s">
        <v>52</v>
      </c>
      <c r="K181" s="14"/>
      <c r="AG181" s="9"/>
    </row>
    <row r="182" spans="2:35">
      <c r="B182" s="21"/>
      <c r="F182" s="50"/>
      <c r="K182" s="14"/>
    </row>
    <row r="183" spans="2:35">
      <c r="B183" s="21"/>
      <c r="C183" s="6" t="s">
        <v>47</v>
      </c>
      <c r="E183" s="8" t="s">
        <v>45</v>
      </c>
      <c r="F183" s="48" t="s">
        <v>46</v>
      </c>
      <c r="K183" s="14"/>
    </row>
    <row r="184" spans="2:35">
      <c r="B184" s="21"/>
      <c r="C184" s="6" t="s">
        <v>49</v>
      </c>
      <c r="E184" s="6" t="s">
        <v>64</v>
      </c>
      <c r="K184" s="14"/>
    </row>
    <row r="185" spans="2:35">
      <c r="B185" s="21"/>
      <c r="C185" s="6" t="s">
        <v>50</v>
      </c>
      <c r="E185" s="8"/>
      <c r="K185" s="14"/>
    </row>
    <row r="186" spans="2:35">
      <c r="B186" s="21"/>
      <c r="C186" s="6" t="s">
        <v>51</v>
      </c>
      <c r="E186" s="8"/>
      <c r="F186" s="50" t="s">
        <v>52</v>
      </c>
      <c r="G186" s="6" t="s">
        <v>53</v>
      </c>
      <c r="H186" s="8"/>
      <c r="I186" s="11" t="s">
        <v>52</v>
      </c>
      <c r="K186" s="14"/>
    </row>
    <row r="187" spans="2:35">
      <c r="B187" s="21"/>
      <c r="C187" s="6" t="s">
        <v>56</v>
      </c>
      <c r="E187" s="8"/>
      <c r="F187" s="48" t="s">
        <v>57</v>
      </c>
      <c r="G187" s="6" t="s">
        <v>53</v>
      </c>
      <c r="H187" s="8"/>
      <c r="I187" s="6" t="s">
        <v>57</v>
      </c>
      <c r="K187" s="14"/>
    </row>
    <row r="188" spans="2:35">
      <c r="B188" s="21"/>
      <c r="K188" s="14"/>
    </row>
    <row r="189" spans="2:35">
      <c r="B189" s="21"/>
      <c r="K189" s="14"/>
    </row>
    <row r="190" spans="2:35">
      <c r="B190" s="21"/>
      <c r="K190" s="14"/>
    </row>
    <row r="191" spans="2:35" s="9" customFormat="1">
      <c r="B191" s="21"/>
      <c r="C191" s="10" t="s">
        <v>59</v>
      </c>
      <c r="E191" s="10" t="s">
        <v>60</v>
      </c>
      <c r="F191" s="48"/>
      <c r="G191" s="6"/>
      <c r="J191" s="10" t="s">
        <v>62</v>
      </c>
      <c r="K191" s="16"/>
    </row>
    <row r="192" spans="2:35">
      <c r="B192" s="21"/>
      <c r="K192" s="14"/>
    </row>
    <row r="193" spans="2:35" ht="23" thickBot="1">
      <c r="B193" s="22"/>
      <c r="C193" s="17"/>
      <c r="D193" s="17"/>
      <c r="E193" s="17"/>
      <c r="F193" s="51"/>
      <c r="G193" s="17"/>
      <c r="H193" s="17"/>
      <c r="I193" s="17"/>
      <c r="J193" s="17"/>
      <c r="K193" s="18"/>
    </row>
    <row r="195" spans="2:35" ht="23" thickBot="1">
      <c r="C195" s="7" t="s">
        <v>254</v>
      </c>
    </row>
    <row r="196" spans="2:35">
      <c r="B196" s="20"/>
      <c r="C196" s="12"/>
      <c r="D196" s="12"/>
      <c r="E196" s="12"/>
      <c r="F196" s="49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45"/>
      <c r="AG196" s="12"/>
      <c r="AH196" s="12"/>
      <c r="AI196" s="13"/>
    </row>
    <row r="197" spans="2:35">
      <c r="B197" s="21"/>
      <c r="C197" s="106"/>
      <c r="AF197" s="9"/>
      <c r="AI197" s="14"/>
    </row>
    <row r="198" spans="2:35">
      <c r="B198" s="21"/>
      <c r="C198" s="126" t="s">
        <v>243</v>
      </c>
      <c r="D198" s="113" t="s">
        <v>49</v>
      </c>
      <c r="E198" s="113"/>
      <c r="F198" s="114" t="s">
        <v>226</v>
      </c>
      <c r="G198" s="113"/>
      <c r="H198" s="113" t="s">
        <v>227</v>
      </c>
      <c r="I198" s="113"/>
      <c r="J198" s="113"/>
      <c r="K198" s="113" t="s">
        <v>228</v>
      </c>
      <c r="L198" s="113"/>
      <c r="M198" s="113" t="s">
        <v>56</v>
      </c>
      <c r="N198" s="113"/>
      <c r="O198" s="113" t="s">
        <v>44</v>
      </c>
      <c r="P198" s="113"/>
      <c r="Q198" s="113"/>
      <c r="R198" s="113" t="s">
        <v>231</v>
      </c>
      <c r="S198" s="113"/>
      <c r="T198" s="113" t="s">
        <v>232</v>
      </c>
      <c r="U198" s="113"/>
      <c r="V198" s="113" t="s">
        <v>233</v>
      </c>
      <c r="W198" s="113"/>
      <c r="X198" s="113" t="s">
        <v>234</v>
      </c>
      <c r="Y198" s="113"/>
      <c r="Z198" s="113"/>
      <c r="AA198" s="113" t="s">
        <v>235</v>
      </c>
      <c r="AB198" s="113"/>
      <c r="AC198" s="113"/>
      <c r="AD198" s="113" t="s">
        <v>236</v>
      </c>
      <c r="AE198" s="113"/>
      <c r="AF198" s="126" t="s">
        <v>237</v>
      </c>
      <c r="AG198" s="126" t="s">
        <v>245</v>
      </c>
      <c r="AH198" s="113"/>
      <c r="AI198" s="14"/>
    </row>
    <row r="199" spans="2:35">
      <c r="B199" s="21"/>
      <c r="C199" s="107" t="s">
        <v>253</v>
      </c>
      <c r="D199" s="116" t="s">
        <v>64</v>
      </c>
      <c r="E199" s="115"/>
      <c r="F199" s="117" t="s">
        <v>82</v>
      </c>
      <c r="G199" s="115"/>
      <c r="H199" s="115">
        <v>100000</v>
      </c>
      <c r="I199" s="115"/>
      <c r="J199" s="115"/>
      <c r="K199" s="115">
        <v>90000</v>
      </c>
      <c r="L199" s="115"/>
      <c r="M199" s="115" t="s">
        <v>229</v>
      </c>
      <c r="N199" s="115"/>
      <c r="O199" s="115" t="s">
        <v>230</v>
      </c>
      <c r="P199" s="115"/>
      <c r="Q199" s="115"/>
      <c r="R199" s="115"/>
      <c r="S199" s="115"/>
      <c r="T199" s="118">
        <v>2345</v>
      </c>
      <c r="U199" s="115"/>
      <c r="V199" s="115">
        <v>0</v>
      </c>
      <c r="W199" s="115"/>
      <c r="X199" s="115">
        <v>656</v>
      </c>
      <c r="Y199" s="115"/>
      <c r="Z199" s="115"/>
      <c r="AA199" s="115">
        <v>0</v>
      </c>
      <c r="AB199" s="115"/>
      <c r="AC199" s="115"/>
      <c r="AD199" s="115">
        <v>200000</v>
      </c>
      <c r="AE199" s="115"/>
      <c r="AF199" s="107">
        <v>0</v>
      </c>
      <c r="AG199" s="117" t="s">
        <v>246</v>
      </c>
      <c r="AH199" s="115"/>
      <c r="AI199" s="14"/>
    </row>
    <row r="200" spans="2:35">
      <c r="B200" s="21"/>
      <c r="C200" s="107" t="s">
        <v>244</v>
      </c>
      <c r="D200" s="116" t="s">
        <v>238</v>
      </c>
      <c r="E200" s="115"/>
      <c r="F200" s="117" t="s">
        <v>239</v>
      </c>
      <c r="G200" s="115"/>
      <c r="H200" s="115">
        <v>100000</v>
      </c>
      <c r="I200" s="115"/>
      <c r="J200" s="115"/>
      <c r="K200" s="115">
        <v>90000</v>
      </c>
      <c r="L200" s="115"/>
      <c r="M200" s="115" t="s">
        <v>229</v>
      </c>
      <c r="N200" s="115"/>
      <c r="O200" s="115" t="s">
        <v>230</v>
      </c>
      <c r="P200" s="115"/>
      <c r="Q200" s="115"/>
      <c r="R200" s="129" t="s">
        <v>222</v>
      </c>
      <c r="S200" s="115"/>
      <c r="T200" s="118">
        <v>2345</v>
      </c>
      <c r="U200" s="115"/>
      <c r="V200" s="118">
        <v>2345</v>
      </c>
      <c r="W200" s="115"/>
      <c r="X200" s="115">
        <v>656</v>
      </c>
      <c r="Y200" s="115"/>
      <c r="Z200" s="115"/>
      <c r="AA200" s="115">
        <v>655</v>
      </c>
      <c r="AB200" s="115"/>
      <c r="AC200" s="115"/>
      <c r="AD200" s="115">
        <v>1000</v>
      </c>
      <c r="AE200" s="115"/>
      <c r="AF200" s="107">
        <v>999</v>
      </c>
      <c r="AG200" s="117" t="s">
        <v>247</v>
      </c>
      <c r="AH200" s="115"/>
      <c r="AI200" s="14"/>
    </row>
    <row r="201" spans="2:35">
      <c r="B201" s="21"/>
      <c r="C201" s="107"/>
      <c r="D201" s="115"/>
      <c r="E201" s="115"/>
      <c r="F201" s="117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07"/>
      <c r="AG201" s="117"/>
      <c r="AH201" s="115"/>
      <c r="AI201" s="14"/>
    </row>
    <row r="202" spans="2:35">
      <c r="B202" s="21"/>
      <c r="AF202" s="9"/>
      <c r="AG202" s="48"/>
      <c r="AI202" s="14"/>
    </row>
    <row r="203" spans="2:35">
      <c r="B203" s="21"/>
      <c r="AF203" s="9"/>
      <c r="AG203" s="48"/>
      <c r="AI203" s="14"/>
    </row>
    <row r="204" spans="2:35">
      <c r="B204" s="21"/>
      <c r="AF204" s="9"/>
      <c r="AI204" s="14"/>
    </row>
    <row r="205" spans="2:35">
      <c r="B205" s="21"/>
      <c r="C205" s="10" t="s">
        <v>248</v>
      </c>
      <c r="D205" s="9"/>
      <c r="E205" s="10" t="s">
        <v>249</v>
      </c>
      <c r="G205" s="8" t="s">
        <v>250</v>
      </c>
      <c r="H205" s="9"/>
      <c r="I205" s="48" t="s">
        <v>251</v>
      </c>
      <c r="L205" s="6" t="s">
        <v>252</v>
      </c>
      <c r="O205" s="10" t="s">
        <v>62</v>
      </c>
      <c r="AI205" s="14"/>
    </row>
    <row r="206" spans="2:35" ht="23" thickBot="1">
      <c r="B206" s="22"/>
      <c r="C206" s="17"/>
      <c r="D206" s="17"/>
      <c r="E206" s="17"/>
      <c r="F206" s="51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8"/>
    </row>
  </sheetData>
  <mergeCells count="2">
    <mergeCell ref="B45:O64"/>
    <mergeCell ref="H153:J153"/>
  </mergeCells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772E-DA91-49E2-B3F3-99980E73D822}">
  <dimension ref="B2:AH47"/>
  <sheetViews>
    <sheetView zoomScale="70" zoomScaleNormal="70" workbookViewId="0">
      <selection activeCell="AF28" sqref="AF28"/>
    </sheetView>
  </sheetViews>
  <sheetFormatPr defaultRowHeight="25" customHeight="1"/>
  <cols>
    <col min="1" max="1" width="8.6640625" style="58"/>
    <col min="2" max="2" width="3.9140625" style="58" customWidth="1"/>
    <col min="3" max="3" width="8.6640625" style="58"/>
    <col min="4" max="4" width="24.33203125" style="58" customWidth="1"/>
    <col min="5" max="5" width="8.08203125" style="58" customWidth="1"/>
    <col min="6" max="6" width="21.33203125" style="58" bestFit="1" customWidth="1"/>
    <col min="7" max="10" width="8.6640625" style="58"/>
    <col min="11" max="12" width="5.9140625" style="58" customWidth="1"/>
    <col min="13" max="13" width="13.33203125" style="58" bestFit="1" customWidth="1"/>
    <col min="14" max="15" width="4.83203125" style="58" customWidth="1"/>
    <col min="16" max="16" width="7.75" style="58" bestFit="1" customWidth="1"/>
    <col min="17" max="17" width="9.75" style="58" bestFit="1" customWidth="1"/>
    <col min="18" max="20" width="8.6640625" style="58"/>
    <col min="21" max="21" width="4.4140625" style="58" customWidth="1"/>
    <col min="22" max="22" width="12.83203125" style="58" bestFit="1" customWidth="1"/>
    <col min="23" max="23" width="5.75" style="58" bestFit="1" customWidth="1"/>
    <col min="24" max="24" width="15.25" style="58" customWidth="1"/>
    <col min="25" max="25" width="4.4140625" style="58" customWidth="1"/>
    <col min="26" max="27" width="8.6640625" style="58"/>
    <col min="28" max="28" width="12.58203125" style="58" customWidth="1"/>
    <col min="29" max="16384" width="8.6640625" style="58"/>
  </cols>
  <sheetData>
    <row r="2" spans="2:34" ht="25" customHeight="1" thickBot="1"/>
    <row r="3" spans="2:34" s="62" customFormat="1" ht="25" customHeight="1">
      <c r="B3" s="59"/>
      <c r="C3" s="60"/>
      <c r="D3" s="60"/>
      <c r="E3" s="60"/>
      <c r="F3" s="96"/>
      <c r="G3" s="96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1"/>
      <c r="AD3" s="63"/>
      <c r="AE3" s="63"/>
    </row>
    <row r="4" spans="2:34" s="62" customFormat="1" ht="25" customHeight="1">
      <c r="B4" s="64"/>
      <c r="C4" s="62" t="s">
        <v>152</v>
      </c>
      <c r="E4" s="62" t="s">
        <v>202</v>
      </c>
      <c r="Q4" s="62" t="s">
        <v>153</v>
      </c>
      <c r="R4" s="62" t="s">
        <v>154</v>
      </c>
      <c r="V4" s="65" t="s">
        <v>155</v>
      </c>
      <c r="W4" s="157" t="s">
        <v>203</v>
      </c>
      <c r="X4" s="153"/>
      <c r="Y4" s="66"/>
      <c r="AD4" s="63"/>
      <c r="AE4" s="63"/>
    </row>
    <row r="5" spans="2:34" s="62" customFormat="1" ht="25" customHeight="1">
      <c r="B5" s="64"/>
      <c r="C5" s="62" t="s">
        <v>156</v>
      </c>
      <c r="E5" s="62" t="s">
        <v>141</v>
      </c>
      <c r="F5" s="92"/>
      <c r="G5" s="92"/>
      <c r="R5" s="67" t="s">
        <v>157</v>
      </c>
      <c r="S5" s="67" t="s">
        <v>178</v>
      </c>
      <c r="T5" s="62" t="s">
        <v>207</v>
      </c>
      <c r="V5" s="65" t="s">
        <v>158</v>
      </c>
      <c r="W5" s="157" t="s">
        <v>159</v>
      </c>
      <c r="X5" s="153"/>
      <c r="Y5" s="66"/>
      <c r="AD5" s="63"/>
      <c r="AE5" s="63"/>
    </row>
    <row r="6" spans="2:34" s="62" customFormat="1" ht="25" customHeight="1">
      <c r="B6" s="64"/>
      <c r="F6" s="92"/>
      <c r="G6" s="92"/>
      <c r="S6" s="153"/>
      <c r="T6" s="153"/>
      <c r="U6" s="153"/>
      <c r="Y6" s="66"/>
      <c r="AD6" s="63"/>
      <c r="AE6" s="63"/>
    </row>
    <row r="7" spans="2:34" s="62" customFormat="1" ht="25" customHeight="1">
      <c r="B7" s="154" t="s">
        <v>177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97"/>
      <c r="Z7" s="57"/>
      <c r="AD7" s="63"/>
      <c r="AE7" s="63"/>
    </row>
    <row r="8" spans="2:34" s="62" customFormat="1" ht="25" customHeight="1">
      <c r="B8" s="154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97"/>
      <c r="Z8" s="57"/>
      <c r="AD8" s="63"/>
      <c r="AE8" s="63"/>
    </row>
    <row r="9" spans="2:34" s="63" customFormat="1" ht="25" customHeight="1">
      <c r="B9" s="68"/>
      <c r="C9" s="85" t="s">
        <v>205</v>
      </c>
      <c r="D9" s="85"/>
      <c r="E9" s="85"/>
      <c r="F9" s="85" t="s">
        <v>81</v>
      </c>
      <c r="G9" s="85"/>
      <c r="H9" s="85"/>
      <c r="I9" s="85"/>
      <c r="J9" s="85" t="s">
        <v>170</v>
      </c>
      <c r="K9" s="85"/>
      <c r="L9" s="85"/>
      <c r="M9" s="85"/>
      <c r="N9" s="85"/>
      <c r="O9" s="85"/>
      <c r="P9" s="85"/>
      <c r="Q9" s="85" t="s">
        <v>171</v>
      </c>
      <c r="R9" s="85"/>
      <c r="S9" s="85" t="s">
        <v>173</v>
      </c>
      <c r="T9" s="85"/>
      <c r="U9" s="85"/>
      <c r="V9" s="85" t="s">
        <v>175</v>
      </c>
      <c r="W9" s="85"/>
      <c r="X9" s="85"/>
      <c r="Y9" s="69"/>
    </row>
    <row r="10" spans="2:34" s="62" customFormat="1" ht="25" customHeight="1">
      <c r="B10" s="64"/>
      <c r="C10" s="158" t="s">
        <v>204</v>
      </c>
      <c r="D10" s="158"/>
      <c r="E10" s="80"/>
      <c r="F10" s="86" t="s">
        <v>82</v>
      </c>
      <c r="G10" s="87"/>
      <c r="H10" s="80"/>
      <c r="I10" s="80"/>
      <c r="J10" s="88" t="s">
        <v>51</v>
      </c>
      <c r="K10" s="156">
        <v>10000000</v>
      </c>
      <c r="L10" s="156"/>
      <c r="M10" s="88" t="s">
        <v>53</v>
      </c>
      <c r="N10" s="156">
        <v>900000</v>
      </c>
      <c r="O10" s="156"/>
      <c r="P10" s="89"/>
      <c r="Q10" s="80" t="s">
        <v>172</v>
      </c>
      <c r="R10" s="80"/>
      <c r="S10" s="80" t="s">
        <v>174</v>
      </c>
      <c r="T10" s="80"/>
      <c r="U10" s="80"/>
      <c r="V10" s="80" t="s">
        <v>176</v>
      </c>
      <c r="W10" s="80"/>
      <c r="X10" s="80"/>
      <c r="Y10" s="66"/>
      <c r="AB10" s="67"/>
      <c r="AE10" s="63"/>
      <c r="AF10" s="63"/>
      <c r="AG10" s="63"/>
      <c r="AH10" s="63"/>
    </row>
    <row r="11" spans="2:34" s="62" customFormat="1" ht="25" customHeight="1">
      <c r="B11" s="64"/>
      <c r="C11" s="90"/>
      <c r="F11" s="91"/>
      <c r="G11" s="92"/>
      <c r="J11" s="70"/>
      <c r="K11" s="70"/>
      <c r="L11" s="70"/>
      <c r="M11" s="70"/>
      <c r="N11" s="70"/>
      <c r="O11" s="70"/>
      <c r="P11" s="71"/>
      <c r="Y11" s="66"/>
      <c r="AB11" s="67"/>
      <c r="AE11" s="63"/>
      <c r="AF11" s="63"/>
      <c r="AG11" s="63"/>
      <c r="AH11" s="63"/>
    </row>
    <row r="12" spans="2:34" s="62" customFormat="1" ht="25" customHeight="1">
      <c r="B12" s="64"/>
      <c r="C12" s="55" t="s">
        <v>90</v>
      </c>
      <c r="D12" s="100" t="s">
        <v>160</v>
      </c>
      <c r="E12" s="100"/>
      <c r="F12" s="100" t="s">
        <v>161</v>
      </c>
      <c r="G12" s="100"/>
      <c r="H12" s="100" t="s">
        <v>95</v>
      </c>
      <c r="I12" s="100"/>
      <c r="J12" s="100" t="s">
        <v>186</v>
      </c>
      <c r="K12" s="100"/>
      <c r="L12" s="100"/>
      <c r="M12" s="100" t="s">
        <v>188</v>
      </c>
      <c r="N12" s="100"/>
      <c r="O12" s="100"/>
      <c r="P12" s="100" t="s">
        <v>189</v>
      </c>
      <c r="Q12" s="100"/>
      <c r="R12" s="100" t="s">
        <v>190</v>
      </c>
      <c r="S12" s="101"/>
      <c r="T12" s="55" t="s">
        <v>196</v>
      </c>
      <c r="U12" s="55"/>
      <c r="V12" s="55" t="s">
        <v>197</v>
      </c>
      <c r="W12" s="55" t="s">
        <v>192</v>
      </c>
      <c r="X12" s="55" t="s">
        <v>201</v>
      </c>
      <c r="Y12" s="76"/>
      <c r="Z12" s="77"/>
      <c r="AA12" s="62" t="s">
        <v>165</v>
      </c>
      <c r="AB12" s="62" t="s">
        <v>166</v>
      </c>
      <c r="AD12" s="63"/>
      <c r="AE12" s="63"/>
    </row>
    <row r="13" spans="2:34" s="62" customFormat="1" ht="25" customHeight="1">
      <c r="B13" s="64"/>
      <c r="C13" s="103"/>
      <c r="D13" s="102" t="s">
        <v>180</v>
      </c>
      <c r="E13" s="102"/>
      <c r="F13" s="102" t="s">
        <v>134</v>
      </c>
      <c r="G13" s="102"/>
      <c r="H13" s="102" t="s">
        <v>181</v>
      </c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3"/>
      <c r="U13" s="103"/>
      <c r="V13" s="103" t="s">
        <v>198</v>
      </c>
      <c r="W13" s="103"/>
      <c r="X13" s="103"/>
      <c r="Y13" s="78"/>
      <c r="Z13" s="79"/>
      <c r="AA13" s="62" t="s">
        <v>167</v>
      </c>
      <c r="AB13" s="62" t="s">
        <v>168</v>
      </c>
      <c r="AD13" s="63"/>
      <c r="AE13" s="63"/>
    </row>
    <row r="14" spans="2:34" s="62" customFormat="1" ht="25" customHeight="1">
      <c r="B14" s="64"/>
      <c r="C14" s="74" t="s">
        <v>178</v>
      </c>
      <c r="D14" s="93">
        <v>1234567891</v>
      </c>
      <c r="E14" s="72"/>
      <c r="F14" s="94">
        <v>4901004006688</v>
      </c>
      <c r="G14" s="72"/>
      <c r="H14" s="72" t="s">
        <v>182</v>
      </c>
      <c r="I14" s="72"/>
      <c r="J14" s="72" t="s">
        <v>187</v>
      </c>
      <c r="K14" s="72"/>
      <c r="L14" s="72"/>
      <c r="M14" s="74" t="s">
        <v>162</v>
      </c>
      <c r="N14" s="74"/>
      <c r="O14" s="74"/>
      <c r="P14" s="74" t="s">
        <v>163</v>
      </c>
      <c r="Q14" s="72"/>
      <c r="R14" s="74" t="s">
        <v>191</v>
      </c>
      <c r="S14" s="73"/>
      <c r="T14" s="74" t="s">
        <v>206</v>
      </c>
      <c r="U14" s="74"/>
      <c r="V14" s="74" t="s">
        <v>199</v>
      </c>
      <c r="W14" s="75" t="s">
        <v>164</v>
      </c>
      <c r="X14" s="75"/>
      <c r="Y14" s="76"/>
      <c r="Z14" s="77"/>
      <c r="AA14" s="62" t="s">
        <v>165</v>
      </c>
      <c r="AB14" s="62" t="s">
        <v>166</v>
      </c>
      <c r="AD14" s="63"/>
      <c r="AE14" s="63"/>
    </row>
    <row r="15" spans="2:34" s="62" customFormat="1" ht="25" customHeight="1">
      <c r="B15" s="64"/>
      <c r="C15" s="81"/>
      <c r="D15" s="95" t="s">
        <v>120</v>
      </c>
      <c r="E15" s="80"/>
      <c r="F15" s="80"/>
      <c r="G15" s="80"/>
      <c r="H15" s="80" t="s">
        <v>184</v>
      </c>
      <c r="I15" s="80"/>
      <c r="J15" s="80"/>
      <c r="K15" s="80"/>
      <c r="L15" s="80"/>
      <c r="M15" s="81"/>
      <c r="N15" s="81"/>
      <c r="O15" s="81"/>
      <c r="P15" s="81"/>
      <c r="Q15" s="80"/>
      <c r="R15" s="81"/>
      <c r="S15" s="80"/>
      <c r="T15" s="81"/>
      <c r="U15" s="81"/>
      <c r="V15" s="81" t="s">
        <v>200</v>
      </c>
      <c r="W15" s="81"/>
      <c r="X15" s="81"/>
      <c r="Y15" s="78"/>
      <c r="Z15" s="79"/>
      <c r="AA15" s="62" t="s">
        <v>167</v>
      </c>
      <c r="AB15" s="62" t="s">
        <v>168</v>
      </c>
      <c r="AD15" s="63"/>
      <c r="AE15" s="63"/>
    </row>
    <row r="16" spans="2:34" s="62" customFormat="1" ht="25" customHeight="1">
      <c r="B16" s="64"/>
      <c r="C16" s="79" t="s">
        <v>179</v>
      </c>
      <c r="D16" s="48">
        <v>1234567893</v>
      </c>
      <c r="F16" s="53">
        <v>4901004006622</v>
      </c>
      <c r="H16" s="62" t="s">
        <v>183</v>
      </c>
      <c r="J16" s="62" t="s">
        <v>187</v>
      </c>
      <c r="M16" s="79" t="s">
        <v>169</v>
      </c>
      <c r="N16" s="79"/>
      <c r="O16" s="79"/>
      <c r="P16" s="79" t="s">
        <v>193</v>
      </c>
      <c r="R16" s="79" t="s">
        <v>194</v>
      </c>
      <c r="S16" s="67"/>
      <c r="T16" s="79" t="s">
        <v>206</v>
      </c>
      <c r="U16" s="79"/>
      <c r="V16" s="79" t="s">
        <v>199</v>
      </c>
      <c r="W16" s="77" t="s">
        <v>195</v>
      </c>
      <c r="X16" s="77"/>
      <c r="Y16" s="76"/>
      <c r="Z16" s="77"/>
      <c r="AD16" s="63"/>
      <c r="AE16" s="63"/>
    </row>
    <row r="17" spans="2:31" s="62" customFormat="1" ht="25" customHeight="1">
      <c r="B17" s="64"/>
      <c r="C17" s="81"/>
      <c r="D17" s="95" t="s">
        <v>123</v>
      </c>
      <c r="E17" s="80"/>
      <c r="F17" s="80"/>
      <c r="G17" s="80"/>
      <c r="H17" s="80" t="s">
        <v>185</v>
      </c>
      <c r="I17" s="80"/>
      <c r="J17" s="80"/>
      <c r="K17" s="80"/>
      <c r="L17" s="80"/>
      <c r="M17" s="81"/>
      <c r="N17" s="81"/>
      <c r="O17" s="81"/>
      <c r="P17" s="81"/>
      <c r="Q17" s="80"/>
      <c r="R17" s="80"/>
      <c r="S17" s="80"/>
      <c r="T17" s="81"/>
      <c r="U17" s="81"/>
      <c r="V17" s="81" t="s">
        <v>200</v>
      </c>
      <c r="W17" s="81"/>
      <c r="X17" s="81"/>
      <c r="Y17" s="78"/>
      <c r="Z17" s="79"/>
      <c r="AD17" s="63"/>
      <c r="AE17" s="63"/>
    </row>
    <row r="18" spans="2:31" s="62" customFormat="1" ht="25" customHeight="1">
      <c r="B18" s="64"/>
      <c r="C18" s="74"/>
      <c r="D18" s="72"/>
      <c r="E18" s="72"/>
      <c r="F18" s="72"/>
      <c r="G18" s="72"/>
      <c r="H18" s="72"/>
      <c r="I18" s="72"/>
      <c r="J18" s="72"/>
      <c r="K18" s="72"/>
      <c r="L18" s="72"/>
      <c r="M18" s="74"/>
      <c r="N18" s="74"/>
      <c r="O18" s="74"/>
      <c r="P18" s="74"/>
      <c r="Q18" s="72"/>
      <c r="R18" s="72"/>
      <c r="S18" s="72"/>
      <c r="T18" s="74"/>
      <c r="U18" s="74"/>
      <c r="V18" s="74"/>
      <c r="W18" s="74"/>
      <c r="X18" s="74"/>
      <c r="Y18" s="78"/>
      <c r="Z18" s="79"/>
      <c r="AD18" s="63"/>
      <c r="AE18" s="63"/>
    </row>
    <row r="19" spans="2:31" s="62" customFormat="1" ht="25" customHeight="1">
      <c r="B19" s="64"/>
      <c r="C19" s="81"/>
      <c r="D19" s="80"/>
      <c r="E19" s="80"/>
      <c r="F19" s="80"/>
      <c r="G19" s="80"/>
      <c r="H19" s="80"/>
      <c r="I19" s="80"/>
      <c r="J19" s="80"/>
      <c r="K19" s="80"/>
      <c r="L19" s="80"/>
      <c r="M19" s="81"/>
      <c r="N19" s="81"/>
      <c r="O19" s="81"/>
      <c r="P19" s="81"/>
      <c r="Q19" s="80"/>
      <c r="R19" s="80"/>
      <c r="S19" s="80"/>
      <c r="T19" s="80"/>
      <c r="U19" s="80"/>
      <c r="V19" s="80"/>
      <c r="W19" s="80"/>
      <c r="X19" s="80"/>
      <c r="Y19" s="66"/>
      <c r="AD19" s="63"/>
      <c r="AE19" s="63"/>
    </row>
    <row r="20" spans="2:31" s="62" customFormat="1" ht="25" customHeight="1">
      <c r="B20" s="64"/>
      <c r="C20" s="74"/>
      <c r="D20" s="72"/>
      <c r="E20" s="72"/>
      <c r="F20" s="72"/>
      <c r="G20" s="72"/>
      <c r="H20" s="72"/>
      <c r="I20" s="72"/>
      <c r="J20" s="72"/>
      <c r="K20" s="72"/>
      <c r="L20" s="72"/>
      <c r="M20" s="74"/>
      <c r="N20" s="74"/>
      <c r="O20" s="74"/>
      <c r="P20" s="74"/>
      <c r="Q20" s="72"/>
      <c r="R20" s="72"/>
      <c r="S20" s="72"/>
      <c r="T20" s="74"/>
      <c r="U20" s="74"/>
      <c r="V20" s="74"/>
      <c r="W20" s="74"/>
      <c r="X20" s="74"/>
      <c r="Y20" s="78"/>
      <c r="Z20" s="79"/>
      <c r="AD20" s="63"/>
      <c r="AE20" s="63"/>
    </row>
    <row r="21" spans="2:31" s="62" customFormat="1" ht="25" customHeight="1">
      <c r="B21" s="64"/>
      <c r="C21" s="81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66"/>
      <c r="AD21" s="63"/>
      <c r="AE21" s="63"/>
    </row>
    <row r="22" spans="2:31" ht="25" customHeight="1">
      <c r="B22" s="98"/>
      <c r="C22" s="104"/>
      <c r="Y22" s="99"/>
    </row>
    <row r="23" spans="2:31" ht="25" customHeight="1">
      <c r="B23" s="98"/>
      <c r="C23" s="104"/>
      <c r="Y23" s="99"/>
    </row>
    <row r="24" spans="2:31" s="62" customFormat="1" ht="25" customHeight="1" thickBot="1">
      <c r="B24" s="82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4"/>
      <c r="AD24" s="63"/>
      <c r="AE24" s="63"/>
    </row>
    <row r="25" spans="2:31" ht="25" customHeight="1" thickBot="1"/>
    <row r="26" spans="2:31" s="62" customFormat="1" ht="25" customHeight="1">
      <c r="B26" s="59"/>
      <c r="C26" s="60"/>
      <c r="D26" s="60"/>
      <c r="E26" s="60"/>
      <c r="F26" s="96"/>
      <c r="G26" s="96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1"/>
      <c r="AD26" s="63"/>
      <c r="AE26" s="63"/>
    </row>
    <row r="27" spans="2:31" s="62" customFormat="1" ht="25" customHeight="1">
      <c r="B27" s="64"/>
      <c r="C27" s="62" t="s">
        <v>152</v>
      </c>
      <c r="E27" s="62" t="s">
        <v>202</v>
      </c>
      <c r="Q27" s="62" t="s">
        <v>153</v>
      </c>
      <c r="R27" s="62" t="s">
        <v>154</v>
      </c>
      <c r="V27" s="65" t="s">
        <v>155</v>
      </c>
      <c r="W27" s="157" t="s">
        <v>203</v>
      </c>
      <c r="X27" s="153"/>
      <c r="Y27" s="66"/>
      <c r="AD27" s="63"/>
      <c r="AE27" s="63"/>
    </row>
    <row r="28" spans="2:31" s="62" customFormat="1" ht="25" customHeight="1">
      <c r="B28" s="64"/>
      <c r="C28" s="62" t="s">
        <v>156</v>
      </c>
      <c r="E28" s="62" t="s">
        <v>141</v>
      </c>
      <c r="F28" s="92"/>
      <c r="G28" s="92"/>
      <c r="R28" s="67" t="s">
        <v>157</v>
      </c>
      <c r="S28" s="105" t="s">
        <v>208</v>
      </c>
      <c r="T28" s="56" t="s">
        <v>207</v>
      </c>
      <c r="V28" s="65" t="s">
        <v>158</v>
      </c>
      <c r="W28" s="157" t="s">
        <v>159</v>
      </c>
      <c r="X28" s="153"/>
      <c r="Y28" s="66"/>
      <c r="AD28" s="63"/>
      <c r="AE28" s="63"/>
    </row>
    <row r="29" spans="2:31" s="62" customFormat="1" ht="25" customHeight="1">
      <c r="B29" s="64"/>
      <c r="F29" s="92"/>
      <c r="G29" s="92"/>
      <c r="S29" s="153"/>
      <c r="T29" s="153"/>
      <c r="U29" s="153"/>
      <c r="Y29" s="66"/>
      <c r="AD29" s="63"/>
      <c r="AE29" s="63"/>
    </row>
    <row r="30" spans="2:31" s="62" customFormat="1" ht="25" customHeight="1">
      <c r="B30" s="154" t="s">
        <v>177</v>
      </c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97"/>
      <c r="Z30" s="57"/>
      <c r="AD30" s="63"/>
      <c r="AE30" s="63"/>
    </row>
    <row r="31" spans="2:31" s="62" customFormat="1" ht="25" customHeight="1">
      <c r="B31" s="154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97"/>
      <c r="Z31" s="57"/>
      <c r="AD31" s="63"/>
      <c r="AE31" s="63"/>
    </row>
    <row r="32" spans="2:31" s="63" customFormat="1" ht="25" customHeight="1">
      <c r="B32" s="68"/>
      <c r="C32" s="85" t="s">
        <v>205</v>
      </c>
      <c r="D32" s="85"/>
      <c r="E32" s="85"/>
      <c r="F32" s="85" t="s">
        <v>81</v>
      </c>
      <c r="G32" s="85"/>
      <c r="H32" s="85"/>
      <c r="I32" s="85"/>
      <c r="J32" s="85" t="s">
        <v>170</v>
      </c>
      <c r="K32" s="85"/>
      <c r="L32" s="85"/>
      <c r="M32" s="85"/>
      <c r="N32" s="85"/>
      <c r="O32" s="85"/>
      <c r="P32" s="85"/>
      <c r="Q32" s="85" t="s">
        <v>171</v>
      </c>
      <c r="R32" s="85"/>
      <c r="S32" s="85" t="s">
        <v>173</v>
      </c>
      <c r="T32" s="85"/>
      <c r="U32" s="85"/>
      <c r="V32" s="85" t="s">
        <v>175</v>
      </c>
      <c r="W32" s="85"/>
      <c r="X32" s="85"/>
      <c r="Y32" s="69"/>
    </row>
    <row r="33" spans="2:34" s="62" customFormat="1" ht="25" customHeight="1">
      <c r="B33" s="64"/>
      <c r="C33" s="158" t="s">
        <v>204</v>
      </c>
      <c r="D33" s="158"/>
      <c r="E33" s="80"/>
      <c r="F33" s="86" t="s">
        <v>82</v>
      </c>
      <c r="G33" s="87"/>
      <c r="H33" s="80"/>
      <c r="I33" s="80"/>
      <c r="J33" s="88" t="s">
        <v>51</v>
      </c>
      <c r="K33" s="156">
        <v>10000000</v>
      </c>
      <c r="L33" s="156"/>
      <c r="M33" s="88" t="s">
        <v>53</v>
      </c>
      <c r="N33" s="156">
        <v>900000</v>
      </c>
      <c r="O33" s="156"/>
      <c r="P33" s="89"/>
      <c r="Q33" s="80" t="s">
        <v>172</v>
      </c>
      <c r="R33" s="80"/>
      <c r="S33" s="80" t="s">
        <v>174</v>
      </c>
      <c r="T33" s="80"/>
      <c r="U33" s="80"/>
      <c r="V33" s="80" t="s">
        <v>176</v>
      </c>
      <c r="W33" s="80"/>
      <c r="X33" s="80"/>
      <c r="Y33" s="66"/>
      <c r="AB33" s="67"/>
      <c r="AE33" s="63"/>
      <c r="AF33" s="63"/>
      <c r="AG33" s="63"/>
      <c r="AH33" s="63"/>
    </row>
    <row r="34" spans="2:34" s="62" customFormat="1" ht="25" customHeight="1">
      <c r="B34" s="64"/>
      <c r="C34" s="90"/>
      <c r="F34" s="91"/>
      <c r="G34" s="92"/>
      <c r="J34" s="70"/>
      <c r="K34" s="70"/>
      <c r="L34" s="70"/>
      <c r="M34" s="70"/>
      <c r="N34" s="70"/>
      <c r="O34" s="70"/>
      <c r="P34" s="71"/>
      <c r="Y34" s="66"/>
      <c r="AB34" s="67"/>
      <c r="AE34" s="63"/>
      <c r="AF34" s="63"/>
      <c r="AG34" s="63"/>
      <c r="AH34" s="63"/>
    </row>
    <row r="35" spans="2:34" s="62" customFormat="1" ht="25" customHeight="1">
      <c r="B35" s="64"/>
      <c r="C35" s="55" t="s">
        <v>90</v>
      </c>
      <c r="D35" s="100" t="s">
        <v>160</v>
      </c>
      <c r="E35" s="100"/>
      <c r="F35" s="100" t="s">
        <v>161</v>
      </c>
      <c r="G35" s="100"/>
      <c r="H35" s="100" t="s">
        <v>95</v>
      </c>
      <c r="I35" s="100"/>
      <c r="J35" s="100" t="s">
        <v>186</v>
      </c>
      <c r="K35" s="100"/>
      <c r="L35" s="100"/>
      <c r="M35" s="100" t="s">
        <v>188</v>
      </c>
      <c r="N35" s="100"/>
      <c r="O35" s="100"/>
      <c r="P35" s="100" t="s">
        <v>189</v>
      </c>
      <c r="Q35" s="100"/>
      <c r="R35" s="100" t="s">
        <v>190</v>
      </c>
      <c r="S35" s="101"/>
      <c r="T35" s="55" t="s">
        <v>196</v>
      </c>
      <c r="U35" s="55"/>
      <c r="V35" s="55" t="s">
        <v>197</v>
      </c>
      <c r="W35" s="55" t="s">
        <v>192</v>
      </c>
      <c r="X35" s="55" t="s">
        <v>201</v>
      </c>
      <c r="Y35" s="76"/>
      <c r="Z35" s="77"/>
      <c r="AD35" s="63"/>
      <c r="AE35" s="63"/>
    </row>
    <row r="36" spans="2:34" s="62" customFormat="1" ht="25" customHeight="1">
      <c r="B36" s="64"/>
      <c r="C36" s="103"/>
      <c r="D36" s="102" t="s">
        <v>180</v>
      </c>
      <c r="E36" s="102"/>
      <c r="F36" s="102" t="s">
        <v>134</v>
      </c>
      <c r="G36" s="102"/>
      <c r="H36" s="102" t="s">
        <v>181</v>
      </c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3"/>
      <c r="U36" s="103"/>
      <c r="V36" s="103" t="s">
        <v>198</v>
      </c>
      <c r="W36" s="103"/>
      <c r="X36" s="103"/>
      <c r="Y36" s="78"/>
      <c r="Z36" s="79"/>
      <c r="AD36" s="63"/>
      <c r="AE36" s="63"/>
    </row>
    <row r="37" spans="2:34" s="62" customFormat="1" ht="25" customHeight="1">
      <c r="B37" s="64"/>
      <c r="C37" s="74" t="s">
        <v>209</v>
      </c>
      <c r="D37" s="93">
        <v>1234567891</v>
      </c>
      <c r="E37" s="72"/>
      <c r="F37" s="94">
        <v>4901004006688</v>
      </c>
      <c r="G37" s="72"/>
      <c r="H37" s="72" t="s">
        <v>182</v>
      </c>
      <c r="I37" s="72"/>
      <c r="J37" s="72" t="s">
        <v>187</v>
      </c>
      <c r="K37" s="72"/>
      <c r="L37" s="72"/>
      <c r="M37" s="74" t="s">
        <v>162</v>
      </c>
      <c r="N37" s="74"/>
      <c r="O37" s="74"/>
      <c r="P37" s="74" t="s">
        <v>163</v>
      </c>
      <c r="Q37" s="72"/>
      <c r="R37" s="74" t="s">
        <v>191</v>
      </c>
      <c r="S37" s="73"/>
      <c r="T37" s="74" t="s">
        <v>206</v>
      </c>
      <c r="U37" s="74"/>
      <c r="V37" s="74" t="s">
        <v>199</v>
      </c>
      <c r="W37" s="75" t="s">
        <v>164</v>
      </c>
      <c r="X37" s="75"/>
      <c r="Y37" s="76"/>
      <c r="Z37" s="77"/>
      <c r="AD37" s="63"/>
      <c r="AE37" s="63"/>
    </row>
    <row r="38" spans="2:34" s="62" customFormat="1" ht="25" customHeight="1">
      <c r="B38" s="64"/>
      <c r="C38" s="81"/>
      <c r="D38" s="95" t="s">
        <v>120</v>
      </c>
      <c r="E38" s="80"/>
      <c r="F38" s="80"/>
      <c r="G38" s="80"/>
      <c r="H38" s="80" t="s">
        <v>184</v>
      </c>
      <c r="I38" s="80"/>
      <c r="J38" s="80"/>
      <c r="K38" s="80"/>
      <c r="L38" s="80"/>
      <c r="M38" s="81"/>
      <c r="N38" s="81"/>
      <c r="O38" s="81"/>
      <c r="P38" s="81"/>
      <c r="Q38" s="80"/>
      <c r="R38" s="81"/>
      <c r="S38" s="80"/>
      <c r="T38" s="81"/>
      <c r="U38" s="81"/>
      <c r="V38" s="81" t="s">
        <v>200</v>
      </c>
      <c r="W38" s="81"/>
      <c r="X38" s="81"/>
      <c r="Y38" s="78"/>
      <c r="Z38" s="79"/>
      <c r="AD38" s="63"/>
      <c r="AE38" s="63"/>
    </row>
    <row r="39" spans="2:34" s="62" customFormat="1" ht="25" customHeight="1">
      <c r="B39" s="64"/>
      <c r="C39" s="79" t="s">
        <v>210</v>
      </c>
      <c r="D39" s="48">
        <v>1234567893</v>
      </c>
      <c r="F39" s="53">
        <v>4901004006622</v>
      </c>
      <c r="H39" s="62" t="s">
        <v>183</v>
      </c>
      <c r="J39" s="62" t="s">
        <v>187</v>
      </c>
      <c r="M39" s="79" t="s">
        <v>169</v>
      </c>
      <c r="N39" s="79"/>
      <c r="O39" s="79"/>
      <c r="P39" s="79" t="s">
        <v>193</v>
      </c>
      <c r="R39" s="79" t="s">
        <v>194</v>
      </c>
      <c r="S39" s="67"/>
      <c r="T39" s="79" t="s">
        <v>206</v>
      </c>
      <c r="U39" s="79"/>
      <c r="V39" s="79" t="s">
        <v>199</v>
      </c>
      <c r="W39" s="77" t="s">
        <v>195</v>
      </c>
      <c r="X39" s="77"/>
      <c r="Y39" s="76"/>
      <c r="Z39" s="77"/>
      <c r="AD39" s="63"/>
      <c r="AE39" s="63"/>
    </row>
    <row r="40" spans="2:34" s="62" customFormat="1" ht="25" customHeight="1">
      <c r="B40" s="64"/>
      <c r="C40" s="81"/>
      <c r="D40" s="95" t="s">
        <v>123</v>
      </c>
      <c r="E40" s="80"/>
      <c r="F40" s="80"/>
      <c r="G40" s="80"/>
      <c r="H40" s="80" t="s">
        <v>185</v>
      </c>
      <c r="I40" s="80"/>
      <c r="J40" s="80"/>
      <c r="K40" s="80"/>
      <c r="L40" s="80"/>
      <c r="M40" s="81"/>
      <c r="N40" s="81"/>
      <c r="O40" s="81"/>
      <c r="P40" s="81"/>
      <c r="Q40" s="80"/>
      <c r="R40" s="80"/>
      <c r="S40" s="80"/>
      <c r="T40" s="81"/>
      <c r="U40" s="81"/>
      <c r="V40" s="81" t="s">
        <v>200</v>
      </c>
      <c r="W40" s="81"/>
      <c r="X40" s="81"/>
      <c r="Y40" s="78"/>
      <c r="Z40" s="79"/>
      <c r="AD40" s="63"/>
      <c r="AE40" s="63"/>
    </row>
    <row r="41" spans="2:34" s="62" customFormat="1" ht="25" customHeight="1">
      <c r="B41" s="64"/>
      <c r="C41" s="74"/>
      <c r="D41" s="72"/>
      <c r="E41" s="72"/>
      <c r="F41" s="72"/>
      <c r="G41" s="72"/>
      <c r="H41" s="72"/>
      <c r="I41" s="72"/>
      <c r="J41" s="72"/>
      <c r="K41" s="72"/>
      <c r="L41" s="72"/>
      <c r="M41" s="74"/>
      <c r="N41" s="74"/>
      <c r="O41" s="74"/>
      <c r="P41" s="74"/>
      <c r="Q41" s="72"/>
      <c r="R41" s="72"/>
      <c r="S41" s="72"/>
      <c r="T41" s="74"/>
      <c r="U41" s="74"/>
      <c r="V41" s="74"/>
      <c r="W41" s="74"/>
      <c r="X41" s="74"/>
      <c r="Y41" s="78"/>
      <c r="Z41" s="79"/>
      <c r="AD41" s="63"/>
      <c r="AE41" s="63"/>
    </row>
    <row r="42" spans="2:34" s="62" customFormat="1" ht="25" customHeight="1">
      <c r="B42" s="64"/>
      <c r="C42" s="79"/>
      <c r="M42" s="79"/>
      <c r="N42" s="79"/>
      <c r="O42" s="79"/>
      <c r="P42" s="79"/>
      <c r="T42" s="79"/>
      <c r="U42" s="79"/>
      <c r="V42" s="79"/>
      <c r="W42" s="79"/>
      <c r="X42" s="79"/>
      <c r="Y42" s="78"/>
      <c r="Z42" s="79"/>
      <c r="AD42" s="63"/>
      <c r="AE42" s="63"/>
    </row>
    <row r="43" spans="2:34" s="62" customFormat="1" ht="25" customHeight="1">
      <c r="B43" s="64"/>
      <c r="C43" s="79"/>
      <c r="M43" s="79"/>
      <c r="N43" s="79"/>
      <c r="O43" s="79"/>
      <c r="P43" s="79"/>
      <c r="T43" s="79"/>
      <c r="U43" s="79"/>
      <c r="V43" s="79"/>
      <c r="W43" s="79"/>
      <c r="X43" s="79"/>
      <c r="Y43" s="78"/>
      <c r="Z43" s="79"/>
      <c r="AD43" s="63"/>
      <c r="AE43" s="63"/>
    </row>
    <row r="44" spans="2:34" s="62" customFormat="1" ht="25" customHeight="1">
      <c r="B44" s="64"/>
      <c r="C44" s="79"/>
      <c r="M44" s="79" t="s">
        <v>211</v>
      </c>
      <c r="N44" s="79"/>
      <c r="O44" s="79"/>
      <c r="P44" s="79"/>
      <c r="Y44" s="66"/>
      <c r="AD44" s="63"/>
      <c r="AE44" s="63"/>
    </row>
    <row r="45" spans="2:34" s="62" customFormat="1" ht="25" customHeight="1">
      <c r="B45" s="64"/>
      <c r="C45" s="79"/>
      <c r="M45" s="55" t="s">
        <v>188</v>
      </c>
      <c r="N45" s="55"/>
      <c r="O45" s="55"/>
      <c r="P45" s="55" t="s">
        <v>189</v>
      </c>
      <c r="Q45" s="55"/>
      <c r="R45" s="55" t="s">
        <v>190</v>
      </c>
      <c r="T45" s="79"/>
      <c r="U45" s="79"/>
      <c r="V45" s="79"/>
      <c r="W45" s="79"/>
      <c r="X45" s="79"/>
      <c r="Y45" s="78"/>
      <c r="Z45" s="79"/>
      <c r="AD45" s="63"/>
      <c r="AE45" s="63"/>
    </row>
    <row r="46" spans="2:34" s="62" customFormat="1" ht="25" customHeight="1">
      <c r="B46" s="64"/>
      <c r="C46" s="79"/>
      <c r="M46" s="79" t="s">
        <v>212</v>
      </c>
      <c r="N46" s="79"/>
      <c r="O46" s="79"/>
      <c r="P46" s="79" t="s">
        <v>213</v>
      </c>
      <c r="Q46" s="79"/>
      <c r="R46" s="79" t="s">
        <v>214</v>
      </c>
      <c r="Y46" s="66"/>
      <c r="AD46" s="63"/>
      <c r="AE46" s="63"/>
    </row>
    <row r="47" spans="2:34" s="62" customFormat="1" ht="25" customHeight="1" thickBot="1">
      <c r="B47" s="82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4"/>
      <c r="AD47" s="63"/>
      <c r="AE47" s="63"/>
    </row>
  </sheetData>
  <mergeCells count="14">
    <mergeCell ref="W27:X27"/>
    <mergeCell ref="W28:X28"/>
    <mergeCell ref="S29:U29"/>
    <mergeCell ref="B30:X31"/>
    <mergeCell ref="C33:D33"/>
    <mergeCell ref="K33:L33"/>
    <mergeCell ref="N33:O33"/>
    <mergeCell ref="S6:U6"/>
    <mergeCell ref="B7:X8"/>
    <mergeCell ref="K10:L10"/>
    <mergeCell ref="N10:O10"/>
    <mergeCell ref="W4:X4"/>
    <mergeCell ref="W5:X5"/>
    <mergeCell ref="C10:D10"/>
  </mergeCells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FDA1-2284-4E9C-BECB-B9400F56C26C}">
  <dimension ref="B1:AG26"/>
  <sheetViews>
    <sheetView workbookViewId="0">
      <selection activeCell="AV18" sqref="AV18"/>
    </sheetView>
  </sheetViews>
  <sheetFormatPr defaultColWidth="4.1640625" defaultRowHeight="23.5" customHeight="1"/>
  <cols>
    <col min="4" max="4" width="8.5" bestFit="1" customWidth="1"/>
    <col min="7" max="7" width="15.1640625" customWidth="1"/>
    <col min="9" max="9" width="15.83203125" bestFit="1" customWidth="1"/>
    <col min="12" max="12" width="12.08203125" customWidth="1"/>
  </cols>
  <sheetData>
    <row r="1" spans="2:33" ht="23.5" customHeight="1" thickBot="1"/>
    <row r="2" spans="2:33" ht="23.5" customHeight="1">
      <c r="B2" s="30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2"/>
    </row>
    <row r="3" spans="2:33" ht="23.5" customHeight="1">
      <c r="B3" s="33"/>
      <c r="C3" t="s">
        <v>78</v>
      </c>
      <c r="G3" s="34">
        <v>123456</v>
      </c>
      <c r="Y3" t="s">
        <v>74</v>
      </c>
      <c r="AB3" t="s">
        <v>75</v>
      </c>
      <c r="AG3" s="35"/>
    </row>
    <row r="4" spans="2:33" ht="23.5" customHeight="1">
      <c r="B4" s="33"/>
      <c r="C4" t="s">
        <v>79</v>
      </c>
      <c r="G4" t="s">
        <v>84</v>
      </c>
      <c r="Y4" t="s">
        <v>76</v>
      </c>
      <c r="AD4" t="s">
        <v>77</v>
      </c>
      <c r="AG4" s="35"/>
    </row>
    <row r="5" spans="2:33" ht="23.5" customHeight="1">
      <c r="B5" s="33"/>
      <c r="C5" t="s">
        <v>135</v>
      </c>
      <c r="G5" t="s">
        <v>136</v>
      </c>
      <c r="AG5" s="35"/>
    </row>
    <row r="6" spans="2:33" s="3" customFormat="1" ht="23.5" customHeight="1">
      <c r="B6" s="160" t="s">
        <v>73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2"/>
    </row>
    <row r="7" spans="2:33" ht="23.5" customHeight="1">
      <c r="B7" s="33"/>
      <c r="Y7" s="159" t="s">
        <v>88</v>
      </c>
      <c r="Z7" s="159"/>
      <c r="AA7" s="159"/>
      <c r="AD7" s="159" t="s">
        <v>89</v>
      </c>
      <c r="AE7" s="159"/>
      <c r="AF7" s="159"/>
      <c r="AG7" s="35"/>
    </row>
    <row r="8" spans="2:33" ht="23.5" customHeight="1">
      <c r="B8" s="33"/>
      <c r="C8" t="s">
        <v>80</v>
      </c>
      <c r="I8" s="34">
        <v>20250506001</v>
      </c>
      <c r="Y8" s="159"/>
      <c r="Z8" s="159"/>
      <c r="AA8" s="159"/>
      <c r="AD8" s="159"/>
      <c r="AE8" s="159"/>
      <c r="AF8" s="159"/>
      <c r="AG8" s="35"/>
    </row>
    <row r="9" spans="2:33" ht="23.5" customHeight="1">
      <c r="B9" s="33"/>
      <c r="C9" t="s">
        <v>81</v>
      </c>
      <c r="G9" t="s">
        <v>83</v>
      </c>
      <c r="Y9" s="159"/>
      <c r="Z9" s="159"/>
      <c r="AA9" s="159"/>
      <c r="AD9" s="159"/>
      <c r="AE9" s="159"/>
      <c r="AF9" s="159"/>
      <c r="AG9" s="35"/>
    </row>
    <row r="10" spans="2:33" ht="23.5" customHeight="1">
      <c r="B10" s="33"/>
      <c r="C10" t="s">
        <v>85</v>
      </c>
      <c r="G10" s="34">
        <v>1000000</v>
      </c>
      <c r="H10" t="s">
        <v>86</v>
      </c>
      <c r="I10">
        <v>900000</v>
      </c>
      <c r="Y10" s="159"/>
      <c r="Z10" s="159"/>
      <c r="AA10" s="159"/>
      <c r="AD10" s="159"/>
      <c r="AE10" s="159"/>
      <c r="AF10" s="159"/>
      <c r="AG10" s="35"/>
    </row>
    <row r="11" spans="2:33" ht="23.5" customHeight="1">
      <c r="B11" s="33"/>
      <c r="C11" t="s">
        <v>87</v>
      </c>
      <c r="G11" t="s">
        <v>137</v>
      </c>
      <c r="AG11" s="35"/>
    </row>
    <row r="12" spans="2:33" ht="23.5" customHeight="1">
      <c r="B12" s="33"/>
      <c r="AG12" s="35"/>
    </row>
    <row r="13" spans="2:33" s="42" customFormat="1" ht="23.5" customHeight="1">
      <c r="B13" s="43"/>
      <c r="C13" s="42" t="s">
        <v>90</v>
      </c>
      <c r="D13" s="42" t="s">
        <v>91</v>
      </c>
      <c r="G13" s="42" t="s">
        <v>92</v>
      </c>
      <c r="I13" s="42" t="s">
        <v>93</v>
      </c>
      <c r="K13" s="42" t="s">
        <v>134</v>
      </c>
      <c r="O13" s="42" t="s">
        <v>94</v>
      </c>
      <c r="S13" s="42" t="s">
        <v>95</v>
      </c>
      <c r="X13" s="42" t="s">
        <v>96</v>
      </c>
      <c r="AD13" s="42" t="s">
        <v>97</v>
      </c>
      <c r="AG13" s="44"/>
    </row>
    <row r="14" spans="2:33" ht="23.5" customHeight="1">
      <c r="B14" s="33"/>
      <c r="C14" s="23">
        <v>1</v>
      </c>
      <c r="D14">
        <v>1000000</v>
      </c>
      <c r="G14">
        <v>1234567890</v>
      </c>
      <c r="I14" s="36">
        <v>4901004006677</v>
      </c>
      <c r="O14" s="34" t="s">
        <v>114</v>
      </c>
      <c r="S14" t="s">
        <v>130</v>
      </c>
      <c r="X14" s="41" t="s">
        <v>133</v>
      </c>
      <c r="Y14" s="41"/>
      <c r="Z14" s="41"/>
      <c r="AA14" s="41"/>
      <c r="AG14" s="35"/>
    </row>
    <row r="15" spans="2:33" ht="23.5" customHeight="1">
      <c r="B15" s="33"/>
      <c r="C15" s="23">
        <v>2</v>
      </c>
      <c r="D15">
        <v>1000000</v>
      </c>
      <c r="G15">
        <v>1234567891</v>
      </c>
      <c r="I15" s="36">
        <v>4901004006688</v>
      </c>
      <c r="O15" s="34" t="s">
        <v>121</v>
      </c>
      <c r="S15" t="s">
        <v>130</v>
      </c>
      <c r="X15" s="41" t="s">
        <v>133</v>
      </c>
      <c r="Y15" s="41"/>
      <c r="Z15" s="41"/>
      <c r="AA15" s="41"/>
      <c r="AG15" s="35"/>
    </row>
    <row r="16" spans="2:33" ht="23.5" customHeight="1">
      <c r="B16" s="33"/>
      <c r="C16" s="23">
        <v>3</v>
      </c>
      <c r="D16">
        <v>1000000</v>
      </c>
      <c r="G16">
        <v>1234567892</v>
      </c>
      <c r="I16" s="36">
        <v>4901004006699</v>
      </c>
      <c r="O16" s="34" t="s">
        <v>122</v>
      </c>
      <c r="S16" t="s">
        <v>130</v>
      </c>
      <c r="X16" s="41" t="s">
        <v>133</v>
      </c>
      <c r="Y16" s="41"/>
      <c r="Z16" s="41"/>
      <c r="AA16" s="41"/>
      <c r="AG16" s="35"/>
    </row>
    <row r="17" spans="2:33" ht="23.5" customHeight="1">
      <c r="B17" s="33"/>
      <c r="C17" s="23">
        <v>3</v>
      </c>
      <c r="D17">
        <v>1000000</v>
      </c>
      <c r="G17">
        <v>1234567893</v>
      </c>
      <c r="I17" s="36">
        <v>4901004006622</v>
      </c>
      <c r="O17" s="34" t="s">
        <v>124</v>
      </c>
      <c r="S17" t="s">
        <v>132</v>
      </c>
      <c r="X17" s="41" t="s">
        <v>133</v>
      </c>
      <c r="Y17" s="41"/>
      <c r="Z17" s="41"/>
      <c r="AA17" s="41"/>
      <c r="AG17" s="35"/>
    </row>
    <row r="18" spans="2:33" ht="23.5" customHeight="1">
      <c r="B18" s="33"/>
      <c r="C18" s="23"/>
      <c r="X18" s="41"/>
      <c r="Y18" s="41"/>
      <c r="Z18" s="41"/>
      <c r="AA18" s="41"/>
      <c r="AG18" s="35"/>
    </row>
    <row r="19" spans="2:33" ht="23.5" customHeight="1">
      <c r="B19" s="33"/>
      <c r="C19" s="23"/>
      <c r="X19" s="41"/>
      <c r="Y19" s="41"/>
      <c r="Z19" s="41"/>
      <c r="AA19" s="41"/>
      <c r="AG19" s="35"/>
    </row>
    <row r="20" spans="2:33" ht="23.5" customHeight="1">
      <c r="B20" s="33"/>
      <c r="C20" s="23"/>
      <c r="X20" s="41"/>
      <c r="Y20" s="41"/>
      <c r="Z20" s="41"/>
      <c r="AA20" s="41"/>
      <c r="AG20" s="35"/>
    </row>
    <row r="21" spans="2:33" ht="23.5" customHeight="1">
      <c r="B21" s="33"/>
      <c r="C21" s="23"/>
      <c r="AG21" s="35"/>
    </row>
    <row r="22" spans="2:33" ht="23.5" customHeight="1">
      <c r="B22" s="33"/>
      <c r="C22" s="23"/>
      <c r="AG22" s="35"/>
    </row>
    <row r="23" spans="2:33" ht="23.5" customHeight="1">
      <c r="B23" s="33"/>
      <c r="C23" s="23"/>
      <c r="AG23" s="35"/>
    </row>
    <row r="24" spans="2:33" ht="23.5" customHeight="1">
      <c r="B24" s="33"/>
      <c r="C24" s="23"/>
      <c r="AG24" s="35"/>
    </row>
    <row r="25" spans="2:33" ht="23.5" customHeight="1" thickBot="1">
      <c r="B25" s="37"/>
      <c r="C25" s="38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40"/>
    </row>
    <row r="26" spans="2:33" ht="23.5" customHeight="1">
      <c r="C26" s="23"/>
    </row>
  </sheetData>
  <mergeCells count="5">
    <mergeCell ref="Y7:AA7"/>
    <mergeCell ref="AD7:AF7"/>
    <mergeCell ref="Y8:AA10"/>
    <mergeCell ref="AD8:AF10"/>
    <mergeCell ref="B6:AG6"/>
  </mergeCells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9A67-1FC4-4F0E-925B-75C70C0919C1}">
  <dimension ref="B2:L15"/>
  <sheetViews>
    <sheetView workbookViewId="0">
      <selection activeCell="I20" sqref="I20"/>
    </sheetView>
  </sheetViews>
  <sheetFormatPr defaultRowHeight="18"/>
  <cols>
    <col min="1" max="1" width="19.08203125" customWidth="1"/>
    <col min="2" max="2" width="9" style="28" bestFit="1" customWidth="1"/>
    <col min="3" max="4" width="19.08203125" style="28" customWidth="1"/>
    <col min="5" max="5" width="19.08203125" style="23" customWidth="1"/>
    <col min="6" max="6" width="13.83203125" style="25" customWidth="1"/>
    <col min="7" max="7" width="8.6640625" style="25"/>
    <col min="8" max="8" width="20.25" style="23" bestFit="1" customWidth="1"/>
    <col min="9" max="10" width="20.25" style="23" customWidth="1"/>
    <col min="11" max="11" width="15.83203125" style="24" bestFit="1" customWidth="1"/>
    <col min="12" max="12" width="19.25" style="23" bestFit="1" customWidth="1"/>
  </cols>
  <sheetData>
    <row r="2" spans="2:12">
      <c r="B2" s="28" t="s">
        <v>128</v>
      </c>
      <c r="C2" s="28" t="s">
        <v>128</v>
      </c>
      <c r="D2" s="28" t="s">
        <v>128</v>
      </c>
      <c r="F2" s="28" t="s">
        <v>128</v>
      </c>
      <c r="G2" s="28" t="s">
        <v>128</v>
      </c>
    </row>
    <row r="3" spans="2:12">
      <c r="B3" s="28" t="s">
        <v>105</v>
      </c>
      <c r="F3" s="25" t="s">
        <v>99</v>
      </c>
      <c r="H3" s="23" t="s">
        <v>99</v>
      </c>
      <c r="I3" s="23" t="s">
        <v>84</v>
      </c>
      <c r="K3" s="24" t="s">
        <v>101</v>
      </c>
      <c r="L3" s="23" t="s">
        <v>103</v>
      </c>
    </row>
    <row r="4" spans="2:12">
      <c r="B4" s="28" t="s">
        <v>106</v>
      </c>
      <c r="C4" s="28" t="s">
        <v>108</v>
      </c>
      <c r="D4" s="28" t="s">
        <v>112</v>
      </c>
      <c r="E4" s="23" t="s">
        <v>78</v>
      </c>
      <c r="H4" s="23" t="s">
        <v>98</v>
      </c>
      <c r="I4" s="23" t="s">
        <v>92</v>
      </c>
      <c r="J4" s="23" t="s">
        <v>113</v>
      </c>
      <c r="K4" s="24" t="s">
        <v>93</v>
      </c>
      <c r="L4" s="23" t="s">
        <v>102</v>
      </c>
    </row>
    <row r="5" spans="2:12">
      <c r="B5" s="28" t="s">
        <v>107</v>
      </c>
      <c r="C5" s="28" t="s">
        <v>109</v>
      </c>
      <c r="D5" s="29" t="s">
        <v>110</v>
      </c>
      <c r="E5" s="27" t="str">
        <f>B5&amp;C5&amp;D5</f>
        <v>CNABCD0000</v>
      </c>
      <c r="F5" s="25" t="str">
        <f>E5</f>
        <v>CNABCD0000</v>
      </c>
      <c r="G5" s="26" t="s">
        <v>100</v>
      </c>
      <c r="H5" s="23" t="str">
        <f>F5&amp;G5</f>
        <v>CNABCD0000000001</v>
      </c>
      <c r="I5" s="23">
        <v>1234567890</v>
      </c>
      <c r="J5" s="23" t="s">
        <v>114</v>
      </c>
      <c r="K5" s="24">
        <v>4901004006677</v>
      </c>
      <c r="L5" s="23" t="s">
        <v>104</v>
      </c>
    </row>
    <row r="6" spans="2:12">
      <c r="B6" s="28" t="s">
        <v>107</v>
      </c>
      <c r="C6" s="28" t="s">
        <v>109</v>
      </c>
      <c r="D6" s="29" t="s">
        <v>111</v>
      </c>
      <c r="E6" s="27" t="str">
        <f t="shared" ref="E6:E8" si="0">B6&amp;C6&amp;D6</f>
        <v>CNABCD0001</v>
      </c>
      <c r="F6" s="25" t="str">
        <f t="shared" ref="F6:F8" si="1">E6</f>
        <v>CNABCD0001</v>
      </c>
      <c r="G6" s="26" t="s">
        <v>117</v>
      </c>
      <c r="H6" s="23" t="str">
        <f t="shared" ref="H6:H8" si="2">F6&amp;G6</f>
        <v>CNABCD0001000002</v>
      </c>
      <c r="I6" s="23">
        <v>1234567891</v>
      </c>
      <c r="J6" s="23" t="s">
        <v>121</v>
      </c>
      <c r="K6" s="24">
        <v>4901004006688</v>
      </c>
      <c r="L6" s="23" t="s">
        <v>125</v>
      </c>
    </row>
    <row r="7" spans="2:12">
      <c r="B7" s="28" t="s">
        <v>115</v>
      </c>
      <c r="C7" s="28" t="s">
        <v>116</v>
      </c>
      <c r="D7" s="29" t="s">
        <v>110</v>
      </c>
      <c r="E7" s="27" t="str">
        <f t="shared" si="0"/>
        <v>JPXXXY0000</v>
      </c>
      <c r="F7" s="25" t="str">
        <f t="shared" si="1"/>
        <v>JPXXXY0000</v>
      </c>
      <c r="G7" s="26" t="s">
        <v>118</v>
      </c>
      <c r="H7" s="23" t="str">
        <f t="shared" si="2"/>
        <v>JPXXXY0000000003</v>
      </c>
      <c r="I7" s="23">
        <v>1234567892</v>
      </c>
      <c r="J7" s="23" t="s">
        <v>122</v>
      </c>
      <c r="K7" s="24">
        <v>4901004006699</v>
      </c>
      <c r="L7" s="23" t="s">
        <v>126</v>
      </c>
    </row>
    <row r="8" spans="2:12">
      <c r="B8" s="28" t="s">
        <v>115</v>
      </c>
      <c r="C8" s="28" t="s">
        <v>116</v>
      </c>
      <c r="D8" s="29" t="s">
        <v>110</v>
      </c>
      <c r="E8" s="27" t="str">
        <f t="shared" si="0"/>
        <v>JPXXXY0000</v>
      </c>
      <c r="F8" s="25" t="str">
        <f t="shared" si="1"/>
        <v>JPXXXY0000</v>
      </c>
      <c r="G8" s="26" t="s">
        <v>119</v>
      </c>
      <c r="H8" s="23" t="str">
        <f t="shared" si="2"/>
        <v>JPXXXY0000000004</v>
      </c>
      <c r="I8" s="23">
        <v>1234567893</v>
      </c>
      <c r="J8" s="23" t="s">
        <v>124</v>
      </c>
      <c r="K8" s="24">
        <v>4901004006622</v>
      </c>
      <c r="L8" s="23" t="s">
        <v>127</v>
      </c>
    </row>
    <row r="9" spans="2:12">
      <c r="D9" s="29"/>
      <c r="E9" s="27"/>
      <c r="G9" s="26"/>
    </row>
    <row r="10" spans="2:12">
      <c r="D10" s="29"/>
      <c r="E10" s="27"/>
      <c r="G10" s="26"/>
    </row>
    <row r="11" spans="2:12">
      <c r="D11" s="29"/>
      <c r="E11" s="27"/>
      <c r="G11" s="26"/>
    </row>
    <row r="12" spans="2:12">
      <c r="G12" s="26"/>
    </row>
    <row r="13" spans="2:12">
      <c r="G13" s="26"/>
    </row>
    <row r="14" spans="2:12">
      <c r="G14" s="26"/>
    </row>
    <row r="15" spans="2:12" ht="45">
      <c r="E15" s="174" t="s">
        <v>272</v>
      </c>
      <c r="G15" s="26"/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1098-E5D0-4B1F-BCA1-E55C8F86845F}">
  <dimension ref="B1:O36"/>
  <sheetViews>
    <sheetView zoomScale="115" zoomScaleNormal="115" workbookViewId="0">
      <selection activeCell="K18" sqref="K18"/>
    </sheetView>
  </sheetViews>
  <sheetFormatPr defaultColWidth="9" defaultRowHeight="18"/>
  <cols>
    <col min="1" max="1" width="2" style="1" customWidth="1"/>
    <col min="2" max="2" width="7.75" style="1" customWidth="1"/>
    <col min="3" max="3" width="9" style="1"/>
    <col min="4" max="4" width="18.75" style="4" customWidth="1"/>
    <col min="5" max="5" width="10.83203125" style="4" bestFit="1" customWidth="1"/>
    <col min="6" max="6" width="17.75" style="4" bestFit="1" customWidth="1"/>
    <col min="7" max="7" width="18.5" style="4" bestFit="1" customWidth="1"/>
    <col min="8" max="8" width="25.33203125" style="4" bestFit="1" customWidth="1"/>
    <col min="9" max="9" width="8.83203125" style="3" bestFit="1" customWidth="1"/>
    <col min="10" max="10" width="17" style="4" bestFit="1" customWidth="1"/>
    <col min="11" max="11" width="8.83203125" style="4" bestFit="1" customWidth="1"/>
    <col min="12" max="12" width="17" style="4" customWidth="1"/>
    <col min="13" max="13" width="11.83203125" style="4" bestFit="1" customWidth="1"/>
    <col min="14" max="14" width="7.08203125" style="1" bestFit="1" customWidth="1"/>
    <col min="15" max="15" width="13.83203125" style="130" bestFit="1" customWidth="1"/>
    <col min="16" max="16384" width="9" style="1"/>
  </cols>
  <sheetData>
    <row r="1" spans="2:15" ht="33" customHeight="1">
      <c r="B1" s="5" t="s">
        <v>3</v>
      </c>
      <c r="D1" s="1"/>
      <c r="E1" s="2"/>
      <c r="F1" s="1"/>
      <c r="G1" s="1"/>
      <c r="H1" s="1"/>
    </row>
    <row r="2" spans="2:15">
      <c r="B2" s="163" t="s">
        <v>264</v>
      </c>
      <c r="C2" s="163"/>
      <c r="D2" s="4" t="s">
        <v>266</v>
      </c>
      <c r="F2" s="163" t="s">
        <v>4</v>
      </c>
      <c r="G2" s="163"/>
      <c r="H2" s="4" t="s">
        <v>5</v>
      </c>
    </row>
    <row r="3" spans="2:15" ht="7" customHeight="1">
      <c r="F3" s="131"/>
      <c r="G3" s="131"/>
      <c r="H3" s="1"/>
    </row>
    <row r="4" spans="2:15">
      <c r="B4" s="163" t="s">
        <v>265</v>
      </c>
      <c r="C4" s="163"/>
      <c r="D4" s="4" t="s">
        <v>267</v>
      </c>
      <c r="F4" s="163" t="s">
        <v>6</v>
      </c>
      <c r="G4" s="163"/>
      <c r="H4" s="4" t="s">
        <v>7</v>
      </c>
    </row>
    <row r="5" spans="2:15" ht="7" customHeight="1">
      <c r="B5" s="137"/>
      <c r="C5" s="137"/>
      <c r="D5" s="1"/>
      <c r="E5" s="1"/>
      <c r="F5" s="1"/>
      <c r="G5" s="1"/>
      <c r="H5" s="1"/>
    </row>
    <row r="6" spans="2:15">
      <c r="B6" s="163" t="s">
        <v>8</v>
      </c>
      <c r="C6" s="163"/>
      <c r="D6" s="4" t="s">
        <v>9</v>
      </c>
      <c r="E6" s="130"/>
      <c r="F6" s="163" t="s">
        <v>268</v>
      </c>
      <c r="G6" s="163"/>
      <c r="H6" s="4" t="s">
        <v>269</v>
      </c>
    </row>
    <row r="7" spans="2:15" ht="7" customHeight="1">
      <c r="B7" s="137"/>
      <c r="C7" s="137"/>
      <c r="D7" s="1"/>
      <c r="E7" s="130"/>
      <c r="F7" s="1"/>
      <c r="G7" s="1"/>
      <c r="H7" s="1"/>
    </row>
    <row r="8" spans="2:15">
      <c r="B8" s="163" t="s">
        <v>10</v>
      </c>
      <c r="C8" s="163"/>
      <c r="D8" s="4" t="s">
        <v>11</v>
      </c>
      <c r="E8" s="130"/>
      <c r="F8" s="1"/>
      <c r="G8" s="1"/>
      <c r="H8" s="1"/>
    </row>
    <row r="9" spans="2:15">
      <c r="D9" s="1"/>
      <c r="E9" s="130"/>
      <c r="F9" s="1"/>
      <c r="G9" s="1"/>
      <c r="H9" s="1"/>
    </row>
    <row r="10" spans="2:15" s="132" customFormat="1" ht="17.5">
      <c r="B10" s="135" t="s">
        <v>12</v>
      </c>
      <c r="C10" s="135" t="s">
        <v>13</v>
      </c>
      <c r="D10" s="135" t="s">
        <v>10</v>
      </c>
      <c r="E10" s="135" t="s">
        <v>14</v>
      </c>
      <c r="F10" s="135" t="s">
        <v>258</v>
      </c>
      <c r="G10" s="135" t="s">
        <v>259</v>
      </c>
      <c r="H10" s="135" t="s">
        <v>15</v>
      </c>
      <c r="I10" s="136" t="s">
        <v>16</v>
      </c>
      <c r="J10" s="136" t="s">
        <v>17</v>
      </c>
      <c r="K10" s="136" t="s">
        <v>262</v>
      </c>
      <c r="L10" s="136" t="s">
        <v>263</v>
      </c>
      <c r="M10" s="136" t="s">
        <v>18</v>
      </c>
      <c r="N10" s="134" t="s">
        <v>19</v>
      </c>
      <c r="O10" s="132" t="s">
        <v>6</v>
      </c>
    </row>
    <row r="11" spans="2:15">
      <c r="B11" s="130">
        <v>1</v>
      </c>
      <c r="C11" s="130">
        <v>0</v>
      </c>
      <c r="D11" s="4" t="s">
        <v>20</v>
      </c>
      <c r="E11" s="140" t="s">
        <v>255</v>
      </c>
      <c r="F11" s="4" t="s">
        <v>21</v>
      </c>
      <c r="G11" s="4" t="s">
        <v>22</v>
      </c>
      <c r="H11" s="4" t="s">
        <v>279</v>
      </c>
      <c r="M11" s="4" t="s">
        <v>23</v>
      </c>
      <c r="N11" s="133"/>
      <c r="O11" s="130" t="s">
        <v>7</v>
      </c>
    </row>
    <row r="12" spans="2:15">
      <c r="B12" s="130">
        <v>2</v>
      </c>
      <c r="C12" s="130">
        <v>0</v>
      </c>
      <c r="D12" s="4" t="s">
        <v>20</v>
      </c>
      <c r="E12" s="140" t="s">
        <v>255</v>
      </c>
      <c r="F12" s="4" t="s">
        <v>24</v>
      </c>
      <c r="G12" s="4" t="s">
        <v>25</v>
      </c>
      <c r="H12" s="4" t="s">
        <v>280</v>
      </c>
      <c r="M12" s="4" t="s">
        <v>23</v>
      </c>
      <c r="N12" s="133"/>
      <c r="O12" s="130" t="s">
        <v>7</v>
      </c>
    </row>
    <row r="13" spans="2:15">
      <c r="B13" s="130">
        <v>3</v>
      </c>
      <c r="C13" s="130">
        <v>0</v>
      </c>
      <c r="D13" s="4" t="s">
        <v>20</v>
      </c>
      <c r="E13" s="140" t="s">
        <v>255</v>
      </c>
      <c r="F13" s="4" t="s">
        <v>26</v>
      </c>
      <c r="G13" s="4" t="s">
        <v>27</v>
      </c>
      <c r="H13" s="4" t="s">
        <v>273</v>
      </c>
      <c r="M13" s="4" t="s">
        <v>23</v>
      </c>
      <c r="N13" s="133"/>
      <c r="O13" s="130" t="s">
        <v>7</v>
      </c>
    </row>
    <row r="14" spans="2:15">
      <c r="B14" s="130">
        <v>4</v>
      </c>
      <c r="C14" s="130">
        <v>0</v>
      </c>
      <c r="D14" s="4" t="s">
        <v>20</v>
      </c>
      <c r="E14" s="140" t="s">
        <v>255</v>
      </c>
      <c r="F14" s="4" t="s">
        <v>28</v>
      </c>
      <c r="G14" s="4" t="s">
        <v>29</v>
      </c>
      <c r="H14" s="4" t="s">
        <v>274</v>
      </c>
      <c r="M14" s="4" t="s">
        <v>23</v>
      </c>
      <c r="N14" s="133"/>
      <c r="O14" s="130" t="s">
        <v>7</v>
      </c>
    </row>
    <row r="15" spans="2:15">
      <c r="B15" s="130">
        <v>5</v>
      </c>
      <c r="C15" s="130">
        <v>0</v>
      </c>
      <c r="D15" s="4" t="s">
        <v>20</v>
      </c>
      <c r="E15" s="140" t="s">
        <v>255</v>
      </c>
      <c r="F15" s="4" t="s">
        <v>30</v>
      </c>
      <c r="G15" s="4" t="s">
        <v>30</v>
      </c>
      <c r="H15" s="4" t="s">
        <v>275</v>
      </c>
      <c r="M15" s="4" t="s">
        <v>23</v>
      </c>
      <c r="N15" s="133"/>
      <c r="O15" s="130" t="s">
        <v>7</v>
      </c>
    </row>
    <row r="16" spans="2:15">
      <c r="B16" s="130">
        <v>6</v>
      </c>
      <c r="C16" s="130">
        <v>0</v>
      </c>
      <c r="D16" s="4" t="s">
        <v>20</v>
      </c>
      <c r="E16" s="140" t="s">
        <v>255</v>
      </c>
      <c r="F16" s="4" t="s">
        <v>31</v>
      </c>
      <c r="G16" s="4" t="s">
        <v>32</v>
      </c>
      <c r="H16" s="4" t="s">
        <v>276</v>
      </c>
      <c r="M16" s="4" t="s">
        <v>23</v>
      </c>
      <c r="N16" s="133"/>
      <c r="O16" s="130" t="s">
        <v>7</v>
      </c>
    </row>
    <row r="17" spans="2:15">
      <c r="B17" s="130">
        <v>7</v>
      </c>
      <c r="C17" s="130">
        <v>0</v>
      </c>
      <c r="D17" s="4" t="s">
        <v>20</v>
      </c>
      <c r="E17" s="140" t="s">
        <v>255</v>
      </c>
      <c r="F17" s="4" t="s">
        <v>33</v>
      </c>
      <c r="G17" s="4" t="s">
        <v>34</v>
      </c>
      <c r="H17" s="4" t="s">
        <v>277</v>
      </c>
      <c r="M17" s="4" t="s">
        <v>23</v>
      </c>
      <c r="N17" s="133"/>
      <c r="O17" s="130" t="s">
        <v>7</v>
      </c>
    </row>
    <row r="18" spans="2:15">
      <c r="B18" s="130">
        <v>8</v>
      </c>
      <c r="C18" s="130">
        <v>0</v>
      </c>
      <c r="D18" s="4" t="s">
        <v>20</v>
      </c>
      <c r="E18" s="140" t="s">
        <v>256</v>
      </c>
      <c r="F18" s="4" t="s">
        <v>35</v>
      </c>
      <c r="G18" s="4" t="s">
        <v>36</v>
      </c>
      <c r="H18" s="4" t="s">
        <v>278</v>
      </c>
      <c r="M18" s="4" t="s">
        <v>23</v>
      </c>
      <c r="N18" s="133"/>
      <c r="O18" s="130" t="s">
        <v>7</v>
      </c>
    </row>
    <row r="19" spans="2:15">
      <c r="B19" s="130" t="s">
        <v>260</v>
      </c>
      <c r="C19" s="130" t="s">
        <v>260</v>
      </c>
      <c r="D19" s="1" t="s">
        <v>260</v>
      </c>
      <c r="E19" s="130" t="s">
        <v>260</v>
      </c>
      <c r="F19" s="1" t="s">
        <v>260</v>
      </c>
      <c r="G19" s="1" t="s">
        <v>260</v>
      </c>
      <c r="H19" s="1" t="s">
        <v>260</v>
      </c>
      <c r="N19" s="133"/>
      <c r="O19" s="1" t="s">
        <v>260</v>
      </c>
    </row>
    <row r="20" spans="2:15">
      <c r="B20" s="130">
        <v>2979</v>
      </c>
      <c r="C20" s="130">
        <v>0</v>
      </c>
      <c r="D20" s="4" t="s">
        <v>38</v>
      </c>
      <c r="E20" s="140" t="s">
        <v>257</v>
      </c>
      <c r="F20" s="4" t="s">
        <v>37</v>
      </c>
      <c r="G20" s="4" t="s">
        <v>37</v>
      </c>
      <c r="H20" s="4" t="s">
        <v>281</v>
      </c>
      <c r="M20" s="4" t="s">
        <v>23</v>
      </c>
      <c r="N20" s="133"/>
      <c r="O20" s="130" t="s">
        <v>7</v>
      </c>
    </row>
    <row r="21" spans="2:15">
      <c r="B21" s="130"/>
      <c r="C21" s="130"/>
      <c r="E21" s="140"/>
    </row>
    <row r="22" spans="2:15">
      <c r="B22" s="130"/>
      <c r="C22" s="130"/>
      <c r="E22" s="140"/>
    </row>
    <row r="23" spans="2:15">
      <c r="B23" s="130"/>
      <c r="C23" s="5"/>
    </row>
    <row r="24" spans="2:15">
      <c r="B24" s="130"/>
      <c r="C24" s="130"/>
    </row>
    <row r="26" spans="2:15">
      <c r="C26" s="134" t="s">
        <v>19</v>
      </c>
      <c r="D26" s="4" t="s">
        <v>261</v>
      </c>
    </row>
    <row r="27" spans="2:15">
      <c r="C27" s="134"/>
    </row>
    <row r="28" spans="2:15">
      <c r="C28" s="134"/>
    </row>
    <row r="29" spans="2:15">
      <c r="C29" s="134"/>
    </row>
    <row r="30" spans="2:15">
      <c r="C30" s="134"/>
    </row>
    <row r="31" spans="2:15">
      <c r="C31" s="134"/>
    </row>
    <row r="32" spans="2:15">
      <c r="C32" s="134"/>
    </row>
    <row r="33" spans="3:3">
      <c r="C33" s="134"/>
    </row>
    <row r="34" spans="3:3">
      <c r="C34" s="134"/>
    </row>
    <row r="35" spans="3:3">
      <c r="C35" s="134"/>
    </row>
    <row r="36" spans="3:3">
      <c r="C36" s="134"/>
    </row>
  </sheetData>
  <mergeCells count="7">
    <mergeCell ref="F2:G2"/>
    <mergeCell ref="F4:G4"/>
    <mergeCell ref="B6:C6"/>
    <mergeCell ref="B8:C8"/>
    <mergeCell ref="B2:C2"/>
    <mergeCell ref="B4:C4"/>
    <mergeCell ref="F6:G6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UI</vt:lpstr>
      <vt:lpstr>商品別在庫差異リスト</vt:lpstr>
      <vt:lpstr>棚卸指示書</vt:lpstr>
      <vt:lpstr>商品サンプル</vt:lpstr>
      <vt:lpstr>棚卸指示ダウンロード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2025-05-06T11:03:03Z</dcterms:modified>
</cp:coreProperties>
</file>