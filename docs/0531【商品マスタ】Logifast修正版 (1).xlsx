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userName="CHUNGUANG JIN" algorithmName="SHA-512" hashValue="IaLWu77vZvSxjf/smz5s9C14axih775Szpg31wpsowV59KU7YWYh2Fbb0+9RxC9WPELwvP0NEX7dFi2Mob297Q==" saltValue="0/MAxxSZowFPz0Cl8X5yLA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njo\Desktop\202505陳勤海外倉庫\（１）陳勤CEOのWMS開発\202504-LogifastWMS開発要件定義書\"/>
    </mc:Choice>
  </mc:AlternateContent>
  <xr:revisionPtr revIDLastSave="0" documentId="13_ncr:18001_{C46D6755-D437-4567-9C92-DF10FE1B0DAB}" xr6:coauthVersionLast="47" xr6:coauthVersionMax="47" xr10:uidLastSave="{00000000-0000-0000-0000-000000000000}"/>
  <bookViews>
    <workbookView xWindow="54495" yWindow="0" windowWidth="26010" windowHeight="20985" tabRatio="914" activeTab="2" xr2:uid="{00000000-000D-0000-FFFF-FFFF00000000}"/>
  </bookViews>
  <sheets>
    <sheet name="商品マスタ" sheetId="42" r:id="rId1"/>
    <sheet name="国コード" sheetId="44" r:id="rId2"/>
    <sheet name="バーコード" sheetId="43" r:id="rId3"/>
    <sheet name="Sheet1" sheetId="1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3" i="42" l="1"/>
  <c r="A152" i="42"/>
  <c r="A151" i="42"/>
  <c r="A150" i="42"/>
  <c r="A149" i="42"/>
  <c r="A148" i="42"/>
  <c r="A147" i="42"/>
  <c r="A146" i="42"/>
  <c r="A145" i="42"/>
  <c r="A144" i="42"/>
  <c r="A143" i="42"/>
  <c r="A4" i="44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1" i="44"/>
  <c r="A32" i="44"/>
  <c r="A33" i="44"/>
  <c r="A34" i="44"/>
  <c r="A35" i="44"/>
  <c r="A36" i="44"/>
  <c r="A37" i="44"/>
  <c r="A38" i="44"/>
  <c r="A39" i="44"/>
  <c r="A40" i="44"/>
  <c r="A41" i="44"/>
  <c r="A42" i="44"/>
  <c r="A43" i="44"/>
  <c r="A44" i="44"/>
  <c r="A45" i="44"/>
  <c r="A46" i="44"/>
  <c r="A47" i="44"/>
  <c r="A48" i="44"/>
  <c r="A49" i="44"/>
  <c r="A50" i="44"/>
  <c r="A51" i="44"/>
  <c r="A52" i="44"/>
  <c r="A53" i="44"/>
  <c r="A54" i="44"/>
  <c r="A55" i="44"/>
  <c r="A56" i="44"/>
  <c r="A57" i="44"/>
  <c r="A58" i="44"/>
  <c r="A59" i="44"/>
  <c r="A60" i="44"/>
  <c r="A61" i="44"/>
  <c r="A62" i="44"/>
  <c r="A63" i="44"/>
  <c r="A64" i="44"/>
  <c r="A65" i="44"/>
  <c r="A66" i="44"/>
  <c r="A67" i="44"/>
  <c r="A68" i="44"/>
  <c r="A69" i="44"/>
  <c r="A70" i="44"/>
  <c r="A71" i="44"/>
  <c r="A72" i="44"/>
  <c r="A73" i="44"/>
  <c r="A74" i="44"/>
  <c r="A75" i="44"/>
  <c r="A76" i="44"/>
  <c r="A77" i="44"/>
  <c r="A78" i="44"/>
  <c r="A79" i="44"/>
  <c r="A80" i="44"/>
  <c r="A81" i="44"/>
  <c r="A82" i="44"/>
  <c r="A83" i="44"/>
  <c r="A84" i="44"/>
  <c r="A85" i="44"/>
  <c r="A86" i="44"/>
  <c r="A87" i="44"/>
  <c r="A88" i="44"/>
  <c r="A89" i="44"/>
  <c r="A90" i="44"/>
  <c r="A91" i="44"/>
  <c r="A92" i="44"/>
  <c r="A93" i="44"/>
  <c r="A94" i="44"/>
  <c r="A95" i="44"/>
  <c r="A96" i="44"/>
  <c r="A97" i="44"/>
  <c r="A98" i="44"/>
  <c r="A99" i="44"/>
  <c r="A100" i="44"/>
  <c r="A101" i="44"/>
  <c r="A102" i="44"/>
  <c r="A103" i="44"/>
  <c r="A104" i="44"/>
  <c r="A105" i="44"/>
  <c r="A106" i="44"/>
  <c r="A107" i="44"/>
  <c r="A108" i="44"/>
  <c r="A109" i="44"/>
  <c r="A110" i="44"/>
  <c r="A111" i="44"/>
  <c r="A112" i="44"/>
  <c r="A113" i="44"/>
  <c r="A114" i="44"/>
  <c r="A115" i="44"/>
  <c r="A116" i="44"/>
  <c r="A117" i="44"/>
  <c r="A118" i="44"/>
  <c r="A119" i="44"/>
  <c r="A120" i="44"/>
  <c r="A121" i="44"/>
  <c r="A122" i="44"/>
  <c r="A123" i="44"/>
  <c r="A124" i="44"/>
  <c r="A125" i="44"/>
  <c r="A126" i="44"/>
  <c r="A127" i="44"/>
  <c r="A128" i="44"/>
  <c r="A129" i="44"/>
  <c r="A130" i="44"/>
  <c r="A131" i="44"/>
  <c r="A132" i="44"/>
  <c r="A133" i="44"/>
  <c r="A134" i="44"/>
  <c r="A135" i="44"/>
  <c r="A136" i="44"/>
  <c r="A137" i="44"/>
  <c r="A138" i="44"/>
  <c r="A139" i="44"/>
  <c r="A140" i="44"/>
  <c r="A141" i="44"/>
  <c r="A142" i="44"/>
  <c r="A143" i="44"/>
  <c r="A144" i="44"/>
  <c r="A145" i="44"/>
  <c r="A146" i="44"/>
  <c r="A147" i="44"/>
  <c r="A148" i="44"/>
  <c r="A149" i="44"/>
  <c r="A150" i="44"/>
  <c r="A151" i="44"/>
  <c r="A152" i="44"/>
  <c r="A153" i="44"/>
  <c r="A154" i="44"/>
  <c r="A155" i="44"/>
  <c r="A156" i="44"/>
  <c r="A157" i="44"/>
  <c r="A158" i="44"/>
  <c r="A159" i="44"/>
  <c r="A160" i="44"/>
  <c r="A161" i="44"/>
  <c r="A162" i="44"/>
  <c r="A163" i="44"/>
  <c r="A164" i="44"/>
  <c r="A165" i="44"/>
  <c r="A166" i="44"/>
  <c r="A167" i="44"/>
  <c r="A168" i="44"/>
  <c r="A169" i="44"/>
  <c r="A170" i="44"/>
  <c r="A171" i="44"/>
  <c r="A172" i="44"/>
  <c r="A173" i="44"/>
  <c r="A174" i="44"/>
  <c r="A175" i="44"/>
  <c r="A176" i="44"/>
  <c r="A177" i="44"/>
  <c r="A178" i="44"/>
  <c r="A179" i="44"/>
  <c r="A180" i="44"/>
  <c r="A181" i="44"/>
  <c r="A182" i="44"/>
  <c r="A183" i="44"/>
  <c r="A184" i="44"/>
  <c r="A185" i="44"/>
  <c r="A186" i="44"/>
  <c r="A187" i="44"/>
  <c r="A188" i="44"/>
  <c r="A189" i="44"/>
  <c r="A190" i="44"/>
  <c r="A191" i="44"/>
  <c r="A192" i="44"/>
  <c r="A193" i="44"/>
  <c r="A194" i="44"/>
  <c r="A195" i="44"/>
  <c r="A196" i="44"/>
  <c r="A197" i="44"/>
  <c r="A198" i="44"/>
  <c r="A199" i="44"/>
  <c r="A200" i="44"/>
  <c r="A201" i="44"/>
  <c r="A202" i="44"/>
  <c r="A203" i="44"/>
  <c r="A204" i="44"/>
  <c r="A205" i="44"/>
  <c r="A206" i="44"/>
  <c r="A207" i="44"/>
  <c r="A208" i="44"/>
  <c r="A209" i="44"/>
  <c r="A210" i="44"/>
  <c r="A211" i="44"/>
  <c r="A212" i="44"/>
  <c r="A213" i="44"/>
  <c r="A214" i="44"/>
  <c r="A215" i="44"/>
  <c r="A216" i="44"/>
  <c r="A217" i="44"/>
  <c r="A218" i="44"/>
  <c r="A219" i="44"/>
  <c r="A220" i="44"/>
  <c r="A221" i="44"/>
  <c r="A222" i="44"/>
  <c r="A223" i="44"/>
  <c r="A224" i="44"/>
  <c r="A225" i="44"/>
  <c r="A226" i="44"/>
  <c r="A227" i="44"/>
  <c r="A228" i="44"/>
  <c r="A229" i="44"/>
  <c r="A230" i="44"/>
  <c r="A231" i="44"/>
  <c r="A232" i="44"/>
  <c r="A233" i="44"/>
  <c r="A234" i="44"/>
  <c r="A235" i="44"/>
  <c r="A236" i="44"/>
  <c r="A237" i="44"/>
  <c r="A238" i="44"/>
  <c r="A239" i="44"/>
  <c r="A240" i="44"/>
  <c r="A241" i="44"/>
  <c r="A242" i="44"/>
  <c r="A243" i="44"/>
  <c r="A244" i="44"/>
  <c r="A245" i="44"/>
  <c r="A246" i="44"/>
  <c r="A247" i="44"/>
  <c r="A248" i="44"/>
  <c r="A249" i="44"/>
  <c r="A250" i="44"/>
  <c r="A251" i="44"/>
  <c r="A252" i="44"/>
  <c r="A253" i="44"/>
  <c r="A254" i="44"/>
  <c r="A3" i="44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92" i="42"/>
  <c r="A93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128" i="42" l="1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01" i="42"/>
  <c r="A110" i="42"/>
  <c r="A126" i="42"/>
  <c r="A127" i="42"/>
  <c r="A113" i="42"/>
  <c r="A112" i="42"/>
  <c r="A111" i="42"/>
  <c r="A109" i="42"/>
  <c r="A108" i="42"/>
  <c r="A107" i="42"/>
  <c r="A106" i="42"/>
  <c r="A105" i="42"/>
  <c r="A104" i="42"/>
  <c r="A103" i="42"/>
  <c r="A102" i="42"/>
  <c r="A100" i="42"/>
  <c r="A99" i="42"/>
  <c r="A98" i="42"/>
  <c r="A97" i="42"/>
  <c r="A96" i="42"/>
  <c r="A95" i="42"/>
  <c r="A94" i="42"/>
  <c r="A11" i="4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<sst xmlns="http://schemas.openxmlformats.org/spreadsheetml/2006/main" count="2023" uniqueCount="1279">
  <si>
    <t>入庫日</t>
    <rPh sb="0" eb="2">
      <t>ニュウコ</t>
    </rPh>
    <rPh sb="2" eb="3">
      <t>ビ</t>
    </rPh>
    <phoneticPr fontId="24"/>
  </si>
  <si>
    <t>数量</t>
    <rPh sb="0" eb="2">
      <t>スウリョウ</t>
    </rPh>
    <phoneticPr fontId="24"/>
  </si>
  <si>
    <t>仕入先コード</t>
  </si>
  <si>
    <t>商品カテゴリ</t>
  </si>
  <si>
    <t>ブランドコード</t>
  </si>
  <si>
    <t>ブランド名</t>
  </si>
  <si>
    <t>サイズ名</t>
  </si>
  <si>
    <t>カラー名</t>
  </si>
  <si>
    <t>仕入先名</t>
  </si>
  <si>
    <t>LogiFast株式会社</t>
    <rPh sb="8" eb="12">
      <t>カブシキガイシャ</t>
    </rPh>
    <phoneticPr fontId="24"/>
  </si>
  <si>
    <t>SEQ</t>
    <phoneticPr fontId="24"/>
  </si>
  <si>
    <t>文字列</t>
    <rPh sb="0" eb="3">
      <t>モジレツ</t>
    </rPh>
    <phoneticPr fontId="24"/>
  </si>
  <si>
    <t>整数</t>
    <rPh sb="0" eb="2">
      <t>セイスウ</t>
    </rPh>
    <phoneticPr fontId="24"/>
  </si>
  <si>
    <t>棚番号</t>
    <rPh sb="0" eb="3">
      <t>タナバンゴウ</t>
    </rPh>
    <phoneticPr fontId="24"/>
  </si>
  <si>
    <t>▲</t>
    <phoneticPr fontId="24"/>
  </si>
  <si>
    <t>データ名称</t>
    <rPh sb="3" eb="5">
      <t>メイショウ</t>
    </rPh>
    <phoneticPr fontId="24"/>
  </si>
  <si>
    <t>商品マスタ</t>
    <phoneticPr fontId="24"/>
  </si>
  <si>
    <t>連携</t>
    <rPh sb="0" eb="2">
      <t>レンケイ</t>
    </rPh>
    <phoneticPr fontId="24"/>
  </si>
  <si>
    <t>ファイル形式・区切り文字</t>
    <rPh sb="4" eb="6">
      <t>ケイシキ</t>
    </rPh>
    <rPh sb="7" eb="9">
      <t>クギ</t>
    </rPh>
    <rPh sb="10" eb="12">
      <t>モジ</t>
    </rPh>
    <phoneticPr fontId="24"/>
  </si>
  <si>
    <t>CSV※引用符(ダブルクォーテーションあり)、</t>
    <phoneticPr fontId="24"/>
  </si>
  <si>
    <t>ヘッダー</t>
    <phoneticPr fontId="24"/>
  </si>
  <si>
    <t>有り</t>
    <rPh sb="0" eb="1">
      <t>ア</t>
    </rPh>
    <phoneticPr fontId="24"/>
  </si>
  <si>
    <t>受け渡しファイル名称</t>
    <rPh sb="0" eb="1">
      <t>ウ</t>
    </rPh>
    <rPh sb="2" eb="3">
      <t>ワタ</t>
    </rPh>
    <rPh sb="8" eb="10">
      <t>メイショウ</t>
    </rPh>
    <phoneticPr fontId="24"/>
  </si>
  <si>
    <t>※指定あれば、記入</t>
    <rPh sb="1" eb="3">
      <t>シテイ</t>
    </rPh>
    <rPh sb="7" eb="9">
      <t>キニュウ</t>
    </rPh>
    <phoneticPr fontId="24"/>
  </si>
  <si>
    <t>項目数</t>
    <rPh sb="0" eb="3">
      <t>コウモクスウ</t>
    </rPh>
    <phoneticPr fontId="24"/>
  </si>
  <si>
    <t>項目名称</t>
    <rPh sb="0" eb="2">
      <t>コウモク</t>
    </rPh>
    <rPh sb="2" eb="4">
      <t>メイショウ</t>
    </rPh>
    <phoneticPr fontId="24"/>
  </si>
  <si>
    <t>最大
桁数</t>
    <rPh sb="0" eb="2">
      <t>サイダイ</t>
    </rPh>
    <rPh sb="3" eb="4">
      <t>ケタ</t>
    </rPh>
    <phoneticPr fontId="24"/>
  </si>
  <si>
    <t>データ
種別</t>
    <rPh sb="4" eb="6">
      <t>シュベツ</t>
    </rPh>
    <phoneticPr fontId="24"/>
  </si>
  <si>
    <t>必須</t>
    <rPh sb="0" eb="2">
      <t>ヒッス</t>
    </rPh>
    <phoneticPr fontId="24"/>
  </si>
  <si>
    <t>備考</t>
    <rPh sb="0" eb="2">
      <t>ビコウ</t>
    </rPh>
    <phoneticPr fontId="24"/>
  </si>
  <si>
    <t>契約顧客アカウントID</t>
    <phoneticPr fontId="24"/>
  </si>
  <si>
    <t>●</t>
    <phoneticPr fontId="24"/>
  </si>
  <si>
    <t>親：本社</t>
    <rPh sb="0" eb="1">
      <t>オヤ</t>
    </rPh>
    <rPh sb="2" eb="4">
      <t>ホンシャ</t>
    </rPh>
    <phoneticPr fontId="24"/>
  </si>
  <si>
    <t>WMSで申込或いは登録時、付与される番号</t>
    <rPh sb="4" eb="6">
      <t>モウシコミ</t>
    </rPh>
    <rPh sb="6" eb="7">
      <t>アル</t>
    </rPh>
    <rPh sb="9" eb="11">
      <t>トウロク</t>
    </rPh>
    <rPh sb="11" eb="12">
      <t>ジ</t>
    </rPh>
    <rPh sb="13" eb="15">
      <t>フヨ</t>
    </rPh>
    <rPh sb="18" eb="20">
      <t>バンゴウ</t>
    </rPh>
    <phoneticPr fontId="132"/>
  </si>
  <si>
    <t>子：支社</t>
    <rPh sb="0" eb="1">
      <t>コ</t>
    </rPh>
    <rPh sb="2" eb="4">
      <t>シシャ</t>
    </rPh>
    <phoneticPr fontId="24"/>
  </si>
  <si>
    <t>ポータルサイト登録時に必須入力</t>
    <rPh sb="7" eb="9">
      <t>トウロク</t>
    </rPh>
    <rPh sb="9" eb="10">
      <t>ジ</t>
    </rPh>
    <rPh sb="11" eb="13">
      <t>ヒッス</t>
    </rPh>
    <rPh sb="13" eb="15">
      <t>ニュウリョク</t>
    </rPh>
    <phoneticPr fontId="132"/>
  </si>
  <si>
    <t>△</t>
    <phoneticPr fontId="24"/>
  </si>
  <si>
    <t>LogiFast商品コード</t>
    <phoneticPr fontId="24"/>
  </si>
  <si>
    <t>商品マスタ登録にストアアカウントと商品コード(顧客側)の組み合わせで採番(ストア毎の連番)する。</t>
    <rPh sb="0" eb="2">
      <t>ショウヒン</t>
    </rPh>
    <rPh sb="5" eb="7">
      <t>トウロク</t>
    </rPh>
    <rPh sb="17" eb="19">
      <t>ショウヒン</t>
    </rPh>
    <rPh sb="23" eb="25">
      <t>コキャク</t>
    </rPh>
    <rPh sb="25" eb="26">
      <t>ガワ</t>
    </rPh>
    <rPh sb="28" eb="29">
      <t>ク</t>
    </rPh>
    <rPh sb="30" eb="31">
      <t>ア</t>
    </rPh>
    <rPh sb="34" eb="36">
      <t>サイバン</t>
    </rPh>
    <rPh sb="40" eb="41">
      <t>ゴト</t>
    </rPh>
    <rPh sb="42" eb="44">
      <t>レンバン</t>
    </rPh>
    <phoneticPr fontId="132"/>
  </si>
  <si>
    <t>顧客商品コード/ハウスコード</t>
    <rPh sb="0" eb="2">
      <t>コキャク</t>
    </rPh>
    <rPh sb="2" eb="4">
      <t>ショウヒン</t>
    </rPh>
    <phoneticPr fontId="24"/>
  </si>
  <si>
    <t>ハウスコード：田中商事社内管理用の商品コード＝顧客商品コード</t>
    <phoneticPr fontId="24"/>
  </si>
  <si>
    <t>帳票へ転記用.yahooやAmazon、楽天などそれぞれのサイトで表記されている商品コード</t>
    <rPh sb="0" eb="2">
      <t>チョウヒョウ</t>
    </rPh>
    <rPh sb="3" eb="5">
      <t>テンキ</t>
    </rPh>
    <rPh sb="5" eb="6">
      <t>ヨウ</t>
    </rPh>
    <phoneticPr fontId="24"/>
  </si>
  <si>
    <t>検品コード（バーコード情報）</t>
    <rPh sb="0" eb="2">
      <t>ケンピン</t>
    </rPh>
    <rPh sb="11" eb="13">
      <t>ジョウホウ</t>
    </rPh>
    <phoneticPr fontId="24"/>
  </si>
  <si>
    <t>○</t>
    <phoneticPr fontId="24"/>
  </si>
  <si>
    <t>商品に記載されている（または貼付されている）バーコードの情報。
バーコード貼付を委託する場合、ポータルサイトよりバーコードを印刷する場合、は本項の値が印刷されます。</t>
    <rPh sb="0" eb="2">
      <t>ショウヒン</t>
    </rPh>
    <rPh sb="3" eb="5">
      <t>キサイ</t>
    </rPh>
    <rPh sb="14" eb="16">
      <t>テンプ</t>
    </rPh>
    <rPh sb="28" eb="30">
      <t>ジョウホウ</t>
    </rPh>
    <rPh sb="37" eb="39">
      <t>テンプ</t>
    </rPh>
    <rPh sb="40" eb="42">
      <t>イタク</t>
    </rPh>
    <rPh sb="44" eb="46">
      <t>バアイ</t>
    </rPh>
    <rPh sb="62" eb="64">
      <t>インサツ</t>
    </rPh>
    <rPh sb="66" eb="68">
      <t>バアイ</t>
    </rPh>
    <rPh sb="70" eb="72">
      <t>ホンコウ</t>
    </rPh>
    <rPh sb="73" eb="74">
      <t>アタイ</t>
    </rPh>
    <rPh sb="75" eb="77">
      <t>インサツ</t>
    </rPh>
    <phoneticPr fontId="132"/>
  </si>
  <si>
    <t>商品名称</t>
    <rPh sb="0" eb="2">
      <t>ショウヒン</t>
    </rPh>
    <rPh sb="2" eb="4">
      <t>メイショウ</t>
    </rPh>
    <phoneticPr fontId="24"/>
  </si>
  <si>
    <t>潤いつづく濃厚保湿ティシュ</t>
    <rPh sb="0" eb="1">
      <t>ウルオ</t>
    </rPh>
    <rPh sb="5" eb="7">
      <t>ノウコウ</t>
    </rPh>
    <rPh sb="7" eb="9">
      <t>ホシツ</t>
    </rPh>
    <phoneticPr fontId="24"/>
  </si>
  <si>
    <t>ハウスコードに対しての商品名称。
在庫実績、入庫実績へセットされる名称。
納品書の印字には出荷指示データ内の商品名称を転記する。</t>
    <rPh sb="7" eb="8">
      <t>タイ</t>
    </rPh>
    <rPh sb="11" eb="13">
      <t>ショウヒン</t>
    </rPh>
    <rPh sb="13" eb="15">
      <t>メイショウ</t>
    </rPh>
    <rPh sb="17" eb="19">
      <t>ザイコ</t>
    </rPh>
    <rPh sb="19" eb="21">
      <t>ジッセキ</t>
    </rPh>
    <rPh sb="22" eb="24">
      <t>ニュウコ</t>
    </rPh>
    <rPh sb="24" eb="26">
      <t>ジッセキ</t>
    </rPh>
    <rPh sb="33" eb="35">
      <t>メイショウ</t>
    </rPh>
    <rPh sb="37" eb="40">
      <t>ノウヒンショ</t>
    </rPh>
    <rPh sb="41" eb="43">
      <t>インジ</t>
    </rPh>
    <rPh sb="45" eb="47">
      <t>シュッカ</t>
    </rPh>
    <rPh sb="47" eb="49">
      <t>シジ</t>
    </rPh>
    <rPh sb="52" eb="53">
      <t>ナイ</t>
    </rPh>
    <rPh sb="54" eb="56">
      <t>ショウヒン</t>
    </rPh>
    <rPh sb="56" eb="58">
      <t>メイショウ</t>
    </rPh>
    <rPh sb="59" eb="61">
      <t>テンキ</t>
    </rPh>
    <phoneticPr fontId="132"/>
  </si>
  <si>
    <t>商品略称</t>
    <rPh sb="0" eb="2">
      <t>ショウヒン</t>
    </rPh>
    <rPh sb="2" eb="4">
      <t>リャクショウ</t>
    </rPh>
    <phoneticPr fontId="24"/>
  </si>
  <si>
    <t>潤い</t>
    <rPh sb="0" eb="1">
      <t>ウルオ</t>
    </rPh>
    <phoneticPr fontId="24"/>
  </si>
  <si>
    <t>日常生活用品</t>
    <rPh sb="0" eb="2">
      <t>ニチジョウ</t>
    </rPh>
    <rPh sb="2" eb="6">
      <t>セイカツヨウヒン</t>
    </rPh>
    <phoneticPr fontId="24"/>
  </si>
  <si>
    <t>化粧品、食品、靴、バッグ、コート　等の商品カテゴリをセット</t>
    <rPh sb="0" eb="3">
      <t>ケショウヒン</t>
    </rPh>
    <rPh sb="4" eb="6">
      <t>ショクヒン</t>
    </rPh>
    <phoneticPr fontId="132"/>
  </si>
  <si>
    <t>入庫実績、在庫実績データに反映</t>
    <rPh sb="2" eb="4">
      <t>ジッセキ</t>
    </rPh>
    <phoneticPr fontId="132"/>
  </si>
  <si>
    <t>アパレルのS、M、Lや食品や化粧品の容量等をセット</t>
    <rPh sb="11" eb="13">
      <t>ショクヒン</t>
    </rPh>
    <rPh sb="14" eb="17">
      <t>ケショウヒン</t>
    </rPh>
    <rPh sb="18" eb="20">
      <t>ヨウリョウ</t>
    </rPh>
    <rPh sb="20" eb="21">
      <t>トウ</t>
    </rPh>
    <phoneticPr fontId="132"/>
  </si>
  <si>
    <t>アパレルのカラー等をセット</t>
    <rPh sb="8" eb="9">
      <t>トウ</t>
    </rPh>
    <phoneticPr fontId="132"/>
  </si>
  <si>
    <t>単位区分</t>
    <rPh sb="0" eb="2">
      <t>タンイ</t>
    </rPh>
    <rPh sb="2" eb="4">
      <t>クブン</t>
    </rPh>
    <phoneticPr fontId="24"/>
  </si>
  <si>
    <t>販売単価</t>
    <rPh sb="0" eb="2">
      <t>ハンバイ</t>
    </rPh>
    <rPh sb="2" eb="4">
      <t>タンカ</t>
    </rPh>
    <phoneticPr fontId="24"/>
  </si>
  <si>
    <t>使用しない場合は"0"をセット</t>
    <rPh sb="0" eb="2">
      <t>シヨウ</t>
    </rPh>
    <rPh sb="5" eb="7">
      <t>バアイ</t>
    </rPh>
    <phoneticPr fontId="3"/>
  </si>
  <si>
    <t>仕入単価/原単価</t>
    <rPh sb="0" eb="2">
      <t>シイ</t>
    </rPh>
    <rPh sb="2" eb="4">
      <t>タンカ</t>
    </rPh>
    <rPh sb="5" eb="6">
      <t>モト</t>
    </rPh>
    <rPh sb="6" eb="8">
      <t>タンカ</t>
    </rPh>
    <phoneticPr fontId="24"/>
  </si>
  <si>
    <t>税区分</t>
    <rPh sb="0" eb="3">
      <t>ゼイクブン</t>
    </rPh>
    <phoneticPr fontId="24"/>
  </si>
  <si>
    <t>01:課税/02:非課税</t>
    <rPh sb="3" eb="5">
      <t>カゼイ</t>
    </rPh>
    <rPh sb="9" eb="10">
      <t>ヒ</t>
    </rPh>
    <rPh sb="10" eb="12">
      <t>カゼイ</t>
    </rPh>
    <phoneticPr fontId="3"/>
  </si>
  <si>
    <t>入庫実績は納品予定データの情報からセット
本項は在庫実績データに反映</t>
    <rPh sb="0" eb="2">
      <t>ニュウコ</t>
    </rPh>
    <rPh sb="2" eb="4">
      <t>ジッセキ</t>
    </rPh>
    <rPh sb="5" eb="7">
      <t>ノウヒン</t>
    </rPh>
    <rPh sb="7" eb="9">
      <t>ヨテイ</t>
    </rPh>
    <rPh sb="13" eb="15">
      <t>ジョウホウ</t>
    </rPh>
    <rPh sb="21" eb="23">
      <t>ホンコウ</t>
    </rPh>
    <rPh sb="24" eb="26">
      <t>ザイコ</t>
    </rPh>
    <rPh sb="26" eb="28">
      <t>ジッセキ</t>
    </rPh>
    <phoneticPr fontId="132"/>
  </si>
  <si>
    <t>納品予定リスト反映</t>
    <rPh sb="0" eb="2">
      <t>ノウヒン</t>
    </rPh>
    <rPh sb="2" eb="4">
      <t>ヨテイ</t>
    </rPh>
    <rPh sb="7" eb="9">
      <t>ハンエイ</t>
    </rPh>
    <phoneticPr fontId="132"/>
  </si>
  <si>
    <t>荷姿に対する入数をセット</t>
    <rPh sb="0" eb="2">
      <t>ニスガタ</t>
    </rPh>
    <rPh sb="3" eb="4">
      <t>タイ</t>
    </rPh>
    <rPh sb="6" eb="8">
      <t>イリスウ</t>
    </rPh>
    <phoneticPr fontId="24"/>
  </si>
  <si>
    <t>在庫管理・出庫単位</t>
    <rPh sb="0" eb="2">
      <t>ザイコ</t>
    </rPh>
    <rPh sb="2" eb="4">
      <t>カンリ</t>
    </rPh>
    <rPh sb="5" eb="7">
      <t>シュッコ</t>
    </rPh>
    <rPh sb="7" eb="9">
      <t>タンイ</t>
    </rPh>
    <phoneticPr fontId="24"/>
  </si>
  <si>
    <t>納品予定リスト
格納リストへ反映
01:ﾋﾟｰｽ/02:ｹｰｽ/03:ﾕﾆｯﾄ/04:ﾎﾞｯｸｽ/05:ﾛｰﾙ</t>
    <rPh sb="0" eb="2">
      <t>ノウヒン</t>
    </rPh>
    <rPh sb="2" eb="4">
      <t>ヨテイ</t>
    </rPh>
    <rPh sb="8" eb="10">
      <t>カクノウ</t>
    </rPh>
    <rPh sb="14" eb="16">
      <t>ハンエイ</t>
    </rPh>
    <phoneticPr fontId="132"/>
  </si>
  <si>
    <t>在庫管理する単位＝出庫の単位をセット
例）ボールの場合、１ボールを入庫及び在庫を数量１として管理。
　　出庫も在庫管理単位に準ずる。</t>
    <rPh sb="0" eb="2">
      <t>ザイコ</t>
    </rPh>
    <rPh sb="2" eb="4">
      <t>カンリ</t>
    </rPh>
    <rPh sb="6" eb="8">
      <t>タンイ</t>
    </rPh>
    <rPh sb="9" eb="11">
      <t>シュッコ</t>
    </rPh>
    <rPh sb="12" eb="14">
      <t>タンイ</t>
    </rPh>
    <rPh sb="19" eb="20">
      <t>レイ</t>
    </rPh>
    <rPh sb="25" eb="27">
      <t>バアイ</t>
    </rPh>
    <rPh sb="33" eb="35">
      <t>ニュウコ</t>
    </rPh>
    <rPh sb="35" eb="36">
      <t>オヨ</t>
    </rPh>
    <rPh sb="37" eb="39">
      <t>ザイコ</t>
    </rPh>
    <rPh sb="40" eb="42">
      <t>スウリョウ</t>
    </rPh>
    <rPh sb="46" eb="48">
      <t>カンリ</t>
    </rPh>
    <rPh sb="52" eb="54">
      <t>シュッコ</t>
    </rPh>
    <rPh sb="55" eb="57">
      <t>ザイコ</t>
    </rPh>
    <rPh sb="57" eb="59">
      <t>カンリ</t>
    </rPh>
    <rPh sb="59" eb="61">
      <t>タンイ</t>
    </rPh>
    <rPh sb="62" eb="63">
      <t>ジュン</t>
    </rPh>
    <phoneticPr fontId="132"/>
  </si>
  <si>
    <t>商品区分</t>
    <rPh sb="0" eb="2">
      <t>ショウヒン</t>
    </rPh>
    <rPh sb="2" eb="4">
      <t>クブン</t>
    </rPh>
    <phoneticPr fontId="24"/>
  </si>
  <si>
    <t>"0"固定</t>
    <rPh sb="3" eb="5">
      <t>コテイ</t>
    </rPh>
    <phoneticPr fontId="24"/>
  </si>
  <si>
    <t>セット区分</t>
    <rPh sb="3" eb="5">
      <t>クブン</t>
    </rPh>
    <phoneticPr fontId="24"/>
  </si>
  <si>
    <t>”０”：単品。”１”：セット品</t>
    <rPh sb="4" eb="6">
      <t>タンピン</t>
    </rPh>
    <rPh sb="14" eb="15">
      <t>ヒン</t>
    </rPh>
    <phoneticPr fontId="24"/>
  </si>
  <si>
    <t>在庫管理区分</t>
    <rPh sb="0" eb="2">
      <t>ザイコ</t>
    </rPh>
    <rPh sb="2" eb="4">
      <t>カンリ</t>
    </rPh>
    <rPh sb="4" eb="6">
      <t>クブン</t>
    </rPh>
    <phoneticPr fontId="24"/>
  </si>
  <si>
    <t>"1"固定</t>
    <rPh sb="3" eb="5">
      <t>コテイ</t>
    </rPh>
    <phoneticPr fontId="24"/>
  </si>
  <si>
    <t>期限管理区分</t>
    <rPh sb="0" eb="2">
      <t>キゲン</t>
    </rPh>
    <rPh sb="2" eb="4">
      <t>カンリ</t>
    </rPh>
    <rPh sb="4" eb="6">
      <t>クブン</t>
    </rPh>
    <phoneticPr fontId="24"/>
  </si>
  <si>
    <t xml:space="preserve">0:管理対象外 /1:管理対象 </t>
    <phoneticPr fontId="24"/>
  </si>
  <si>
    <t>ロット管理区分</t>
    <rPh sb="3" eb="5">
      <t>カンリ</t>
    </rPh>
    <rPh sb="5" eb="7">
      <t>クブン</t>
    </rPh>
    <phoneticPr fontId="24"/>
  </si>
  <si>
    <t>検品設定・ロット番号</t>
    <rPh sb="0" eb="2">
      <t>ケンピン</t>
    </rPh>
    <rPh sb="2" eb="4">
      <t>セッテイ</t>
    </rPh>
    <rPh sb="8" eb="10">
      <t>バンゴウ</t>
    </rPh>
    <phoneticPr fontId="24"/>
  </si>
  <si>
    <t>検品設定・有効期限</t>
    <rPh sb="0" eb="2">
      <t>ケンピン</t>
    </rPh>
    <rPh sb="2" eb="4">
      <t>セッテイ</t>
    </rPh>
    <rPh sb="5" eb="9">
      <t>ユウコウキゲン</t>
    </rPh>
    <phoneticPr fontId="24"/>
  </si>
  <si>
    <t>検品設定・参考値</t>
    <rPh sb="0" eb="4">
      <t>ケンピンセッテイ</t>
    </rPh>
    <rPh sb="5" eb="8">
      <t>サンコウチ</t>
    </rPh>
    <phoneticPr fontId="24"/>
  </si>
  <si>
    <t>予約対象区分</t>
    <rPh sb="0" eb="2">
      <t>ヨヤク</t>
    </rPh>
    <rPh sb="2" eb="6">
      <t>タイショウクブン</t>
    </rPh>
    <phoneticPr fontId="24"/>
  </si>
  <si>
    <t xml:space="preserve">出荷不可期間 </t>
    <phoneticPr fontId="24"/>
  </si>
  <si>
    <t xml:space="preserve">有効期限管理区分が"1"の場合、必須。
有効期限に対して出荷可能な日数を指定。
例）30→30日前に達した日は引当非対称となる。 </t>
    <rPh sb="4" eb="6">
      <t>カンリ</t>
    </rPh>
    <rPh sb="6" eb="8">
      <t>クブン</t>
    </rPh>
    <rPh sb="13" eb="15">
      <t>バアイ</t>
    </rPh>
    <rPh sb="16" eb="18">
      <t>ヒッス</t>
    </rPh>
    <rPh sb="20" eb="22">
      <t>ユウコウ</t>
    </rPh>
    <rPh sb="22" eb="24">
      <t>キゲン</t>
    </rPh>
    <rPh sb="40" eb="41">
      <t>レイ</t>
    </rPh>
    <rPh sb="47" eb="48">
      <t>ニチ</t>
    </rPh>
    <rPh sb="48" eb="49">
      <t>マエ</t>
    </rPh>
    <rPh sb="50" eb="51">
      <t>タッ</t>
    </rPh>
    <rPh sb="53" eb="54">
      <t>ヒ</t>
    </rPh>
    <rPh sb="55" eb="57">
      <t>ヒキアテ</t>
    </rPh>
    <rPh sb="57" eb="60">
      <t>ヒタイショウ</t>
    </rPh>
    <phoneticPr fontId="24"/>
  </si>
  <si>
    <t>適正在庫数</t>
    <rPh sb="0" eb="2">
      <t>テキセイ</t>
    </rPh>
    <rPh sb="2" eb="5">
      <t>ザイコスウ</t>
    </rPh>
    <phoneticPr fontId="24"/>
  </si>
  <si>
    <t>在庫定点を任意で設定。不要な場合"0"をセット。
在庫実績データへ反映。</t>
    <rPh sb="0" eb="2">
      <t>ザイコ</t>
    </rPh>
    <rPh sb="2" eb="4">
      <t>テイテン</t>
    </rPh>
    <rPh sb="5" eb="7">
      <t>ニンイ</t>
    </rPh>
    <rPh sb="8" eb="10">
      <t>セッテイ</t>
    </rPh>
    <rPh sb="11" eb="13">
      <t>フヨウ</t>
    </rPh>
    <rPh sb="14" eb="16">
      <t>バアイ</t>
    </rPh>
    <rPh sb="25" eb="27">
      <t>ザイコ</t>
    </rPh>
    <rPh sb="27" eb="29">
      <t>ジッセキ</t>
    </rPh>
    <rPh sb="33" eb="35">
      <t>ハンエイ</t>
    </rPh>
    <phoneticPr fontId="24"/>
  </si>
  <si>
    <t>商品バーコード委託区分</t>
    <rPh sb="0" eb="2">
      <t>ショウヒン</t>
    </rPh>
    <rPh sb="7" eb="9">
      <t>イタク</t>
    </rPh>
    <rPh sb="9" eb="11">
      <t>クブン</t>
    </rPh>
    <phoneticPr fontId="24"/>
  </si>
  <si>
    <t>空欄：委託しない
1：委託する</t>
    <rPh sb="0" eb="2">
      <t>クウラン</t>
    </rPh>
    <rPh sb="3" eb="5">
      <t>イタク</t>
    </rPh>
    <rPh sb="11" eb="13">
      <t>イタク</t>
    </rPh>
    <phoneticPr fontId="132"/>
  </si>
  <si>
    <t>倉庫側にバーコード貼付を依頼する場合にセット
※3項の値を印字　入庫時に印刷可
※化粧品や食品等への貼付は出来ません。</t>
    <rPh sb="0" eb="2">
      <t>ソウコ</t>
    </rPh>
    <rPh sb="2" eb="3">
      <t>ガワ</t>
    </rPh>
    <rPh sb="9" eb="11">
      <t>テンプ</t>
    </rPh>
    <rPh sb="12" eb="14">
      <t>イライ</t>
    </rPh>
    <rPh sb="16" eb="18">
      <t>バアイ</t>
    </rPh>
    <rPh sb="25" eb="26">
      <t>コウ</t>
    </rPh>
    <rPh sb="27" eb="28">
      <t>アタイ</t>
    </rPh>
    <rPh sb="29" eb="31">
      <t>インジ</t>
    </rPh>
    <rPh sb="32" eb="34">
      <t>ニュウコ</t>
    </rPh>
    <rPh sb="34" eb="35">
      <t>ジ</t>
    </rPh>
    <rPh sb="36" eb="38">
      <t>インサツ</t>
    </rPh>
    <rPh sb="38" eb="39">
      <t>カ</t>
    </rPh>
    <rPh sb="41" eb="44">
      <t>ケショウヒン</t>
    </rPh>
    <rPh sb="45" eb="47">
      <t>ショクヒン</t>
    </rPh>
    <rPh sb="47" eb="48">
      <t>トウ</t>
    </rPh>
    <rPh sb="50" eb="52">
      <t>テンプ</t>
    </rPh>
    <rPh sb="53" eb="55">
      <t>デキ</t>
    </rPh>
    <phoneticPr fontId="132"/>
  </si>
  <si>
    <t>数値</t>
    <rPh sb="0" eb="2">
      <t>スウチ</t>
    </rPh>
    <phoneticPr fontId="132"/>
  </si>
  <si>
    <t>顧客入力OR倉庫側入力・更新</t>
    <rPh sb="0" eb="2">
      <t>コキャク</t>
    </rPh>
    <rPh sb="2" eb="4">
      <t>ニュウリョク</t>
    </rPh>
    <rPh sb="6" eb="8">
      <t>ソウコ</t>
    </rPh>
    <rPh sb="8" eb="9">
      <t>ガワ</t>
    </rPh>
    <rPh sb="9" eb="11">
      <t>ニュウリョク</t>
    </rPh>
    <rPh sb="12" eb="14">
      <t>コウシン</t>
    </rPh>
    <phoneticPr fontId="132"/>
  </si>
  <si>
    <t>商品特性フラグ</t>
    <rPh sb="2" eb="4">
      <t>トクセイ</t>
    </rPh>
    <phoneticPr fontId="24"/>
  </si>
  <si>
    <t>販売商品コード</t>
    <rPh sb="0" eb="4">
      <t>ハンバイショウヒン</t>
    </rPh>
    <phoneticPr fontId="24"/>
  </si>
  <si>
    <t>Amazon</t>
    <phoneticPr fontId="24"/>
  </si>
  <si>
    <t>英数字、記号-</t>
    <rPh sb="0" eb="3">
      <t>エイスウジ</t>
    </rPh>
    <rPh sb="4" eb="6">
      <t>キゴウ</t>
    </rPh>
    <phoneticPr fontId="24"/>
  </si>
  <si>
    <t>帳票へ転記用、ラベル印刷</t>
    <rPh sb="0" eb="2">
      <t>チョウヒョウ</t>
    </rPh>
    <rPh sb="3" eb="5">
      <t>テンキ</t>
    </rPh>
    <rPh sb="5" eb="6">
      <t>ヨウ</t>
    </rPh>
    <rPh sb="10" eb="12">
      <t>インサツ</t>
    </rPh>
    <phoneticPr fontId="24"/>
  </si>
  <si>
    <t>マスタ管理</t>
    <rPh sb="3" eb="5">
      <t>カンリ</t>
    </rPh>
    <phoneticPr fontId="24"/>
  </si>
  <si>
    <t>01:ﾋﾟｰｽ/02:ｹｰｽ/03:ﾕﾆｯﾄ（ボール・化粧箱）/04:ﾎﾞｯｸｽ（籠車）/05:ﾛｰﾙ</t>
    <rPh sb="27" eb="30">
      <t>ケショウバコ</t>
    </rPh>
    <rPh sb="41" eb="43">
      <t>カゴシャ</t>
    </rPh>
    <phoneticPr fontId="24"/>
  </si>
  <si>
    <t>商品画像</t>
    <rPh sb="0" eb="2">
      <t>ショウヒン</t>
    </rPh>
    <rPh sb="2" eb="4">
      <t>ガゾウ</t>
    </rPh>
    <phoneticPr fontId="24"/>
  </si>
  <si>
    <t>画像</t>
    <rPh sb="0" eb="2">
      <t>ガゾウ</t>
    </rPh>
    <phoneticPr fontId="24"/>
  </si>
  <si>
    <t>JPG</t>
    <phoneticPr fontId="24"/>
  </si>
  <si>
    <t>01課税：8%、10%、自由設定（　％）</t>
    <rPh sb="2" eb="4">
      <t>カゼイ</t>
    </rPh>
    <rPh sb="12" eb="16">
      <t>ジユウセッテイ</t>
    </rPh>
    <phoneticPr fontId="24"/>
  </si>
  <si>
    <t>検品有無管理区分（検品コード含む）</t>
    <rPh sb="0" eb="2">
      <t>ケンピン</t>
    </rPh>
    <rPh sb="2" eb="3">
      <t>アリ</t>
    </rPh>
    <rPh sb="3" eb="4">
      <t>ナ</t>
    </rPh>
    <rPh sb="4" eb="6">
      <t>カンリ</t>
    </rPh>
    <rPh sb="6" eb="8">
      <t>クブン</t>
    </rPh>
    <rPh sb="9" eb="11">
      <t>ケンピン</t>
    </rPh>
    <rPh sb="14" eb="15">
      <t>フク</t>
    </rPh>
    <phoneticPr fontId="24"/>
  </si>
  <si>
    <t>０：不要。１：管理</t>
    <rPh sb="2" eb="4">
      <t>フヨウ</t>
    </rPh>
    <rPh sb="7" eb="9">
      <t>カンリ</t>
    </rPh>
    <phoneticPr fontId="24"/>
  </si>
  <si>
    <t>適正在庫管理</t>
    <rPh sb="0" eb="2">
      <t>テキセイ</t>
    </rPh>
    <rPh sb="2" eb="4">
      <t>ザイコ</t>
    </rPh>
    <rPh sb="4" eb="6">
      <t>カンリ</t>
    </rPh>
    <phoneticPr fontId="24"/>
  </si>
  <si>
    <t>小数点</t>
    <rPh sb="0" eb="3">
      <t>ショウスウテン</t>
    </rPh>
    <phoneticPr fontId="24"/>
  </si>
  <si>
    <t>縦、横、高さ、重量よりWMS内で算出する。
SS：A4以内　厚さ2.3㎝以内（投函サービス）
60：3辺計 60㎝ 以内 重量2㎏以内
80：3辺計 80㎝ 以内 重量5㎏以内
100：3辺計 100㎝ 以内 重量10㎏以内
120：3辺計 120㎝ 以内 重量15㎏以内
140：3辺計 140㎝ 以内 重量20㎏以内
160：3辺計 160㎝ 以内 重量25㎏以内
170：3辺計 170cm以内　重量25㎏以内
180：3辺計 160㎝ 以内 重量25㎏以内
200：3辺計 160㎝ 以内 重量25㎏以内
210：3辺計 160㎝ 以内 重量30㎏以内
220：3辺計 160㎝ 以内 重量40㎏以内
240：3辺計 160㎝ 以内 重量50㎏以内
260：3辺計 160㎝ 以内 重量50㎏以内
佐川、ヤマト、JP等</t>
    <rPh sb="0" eb="1">
      <t>タテ</t>
    </rPh>
    <rPh sb="2" eb="3">
      <t>ヨコ</t>
    </rPh>
    <rPh sb="4" eb="5">
      <t>タカ</t>
    </rPh>
    <rPh sb="7" eb="9">
      <t>ジュウリョウ</t>
    </rPh>
    <rPh sb="14" eb="15">
      <t>ナイ</t>
    </rPh>
    <rPh sb="16" eb="18">
      <t>サンシュツ</t>
    </rPh>
    <rPh sb="27" eb="29">
      <t>イナイ</t>
    </rPh>
    <rPh sb="30" eb="31">
      <t>アツ</t>
    </rPh>
    <rPh sb="36" eb="38">
      <t>イナイ</t>
    </rPh>
    <rPh sb="39" eb="41">
      <t>トウカン</t>
    </rPh>
    <rPh sb="51" eb="52">
      <t>ヘン</t>
    </rPh>
    <rPh sb="52" eb="53">
      <t>ケイ</t>
    </rPh>
    <rPh sb="58" eb="60">
      <t>イナイ</t>
    </rPh>
    <rPh sb="61" eb="63">
      <t>ジュウリョウ</t>
    </rPh>
    <rPh sb="65" eb="67">
      <t>イナイ</t>
    </rPh>
    <rPh sb="354" eb="356">
      <t>サガワ</t>
    </rPh>
    <rPh sb="363" eb="364">
      <t>ナド</t>
    </rPh>
    <phoneticPr fontId="132"/>
  </si>
  <si>
    <t>空欄．常温通常品。１．冷蔵品。2．冷凍品。3．危険物。4.そのまま出荷（メーカー箱管理出荷）。５．その他</t>
    <rPh sb="0" eb="2">
      <t>クウラン</t>
    </rPh>
    <rPh sb="3" eb="5">
      <t>ジョウオン</t>
    </rPh>
    <rPh sb="5" eb="7">
      <t>ツウジョウ</t>
    </rPh>
    <rPh sb="7" eb="8">
      <t>シナ</t>
    </rPh>
    <rPh sb="11" eb="13">
      <t>レイゾウ</t>
    </rPh>
    <rPh sb="13" eb="14">
      <t>ヒン</t>
    </rPh>
    <rPh sb="17" eb="19">
      <t>レイトウ</t>
    </rPh>
    <rPh sb="19" eb="20">
      <t>ヒン</t>
    </rPh>
    <rPh sb="23" eb="26">
      <t>キケンブツ</t>
    </rPh>
    <rPh sb="33" eb="35">
      <t>シュッカ</t>
    </rPh>
    <rPh sb="40" eb="41">
      <t>ハコ</t>
    </rPh>
    <rPh sb="41" eb="43">
      <t>カンリ</t>
    </rPh>
    <rPh sb="43" eb="45">
      <t>シュッカ</t>
    </rPh>
    <rPh sb="51" eb="52">
      <t>タ</t>
    </rPh>
    <phoneticPr fontId="24"/>
  </si>
  <si>
    <t>商品サイズ縦 (cm)</t>
    <rPh sb="0" eb="2">
      <t>ショウヒン</t>
    </rPh>
    <rPh sb="5" eb="6">
      <t>タテ</t>
    </rPh>
    <phoneticPr fontId="24"/>
  </si>
  <si>
    <t>商品サイズ横 (cm)</t>
    <rPh sb="0" eb="2">
      <t>ショウヒン</t>
    </rPh>
    <rPh sb="5" eb="6">
      <t>ヨコ</t>
    </rPh>
    <phoneticPr fontId="24"/>
  </si>
  <si>
    <t>商品サイズ高 (cm)</t>
    <rPh sb="0" eb="2">
      <t>ショウヒン</t>
    </rPh>
    <rPh sb="5" eb="6">
      <t>タカ</t>
    </rPh>
    <phoneticPr fontId="24"/>
  </si>
  <si>
    <t>商品の容積（M3）</t>
    <rPh sb="0" eb="2">
      <t>ショウヒン</t>
    </rPh>
    <rPh sb="3" eb="5">
      <t>ヨウセキ</t>
    </rPh>
    <phoneticPr fontId="24"/>
  </si>
  <si>
    <t>商品の重量 (kg)</t>
    <rPh sb="0" eb="2">
      <t>ショウヒン</t>
    </rPh>
    <rPh sb="3" eb="5">
      <t>ジュウリョウ</t>
    </rPh>
    <phoneticPr fontId="24"/>
  </si>
  <si>
    <t>倉庫側変更は可能、★かつ、別子テーブル管理</t>
    <rPh sb="0" eb="2">
      <t>ソウコ</t>
    </rPh>
    <rPh sb="2" eb="3">
      <t>ガワ</t>
    </rPh>
    <rPh sb="3" eb="5">
      <t>ヘンコウ</t>
    </rPh>
    <rPh sb="6" eb="8">
      <t>カノウ</t>
    </rPh>
    <rPh sb="13" eb="14">
      <t>ベツ</t>
    </rPh>
    <rPh sb="14" eb="15">
      <t>コ</t>
    </rPh>
    <rPh sb="19" eb="21">
      <t>カンリ</t>
    </rPh>
    <phoneticPr fontId="132"/>
  </si>
  <si>
    <t>シリアル番号</t>
    <rPh sb="4" eb="6">
      <t>バンゴウ</t>
    </rPh>
    <phoneticPr fontId="24"/>
  </si>
  <si>
    <t>csvファイルへ右横記載</t>
    <rPh sb="8" eb="10">
      <t>ミギヨコ</t>
    </rPh>
    <rPh sb="10" eb="12">
      <t>キサイ</t>
    </rPh>
    <phoneticPr fontId="24"/>
  </si>
  <si>
    <t>顧客の顧客の商品コード</t>
    <rPh sb="0" eb="2">
      <t>コキャク</t>
    </rPh>
    <rPh sb="3" eb="5">
      <t>コキャク</t>
    </rPh>
    <rPh sb="6" eb="8">
      <t>ショウヒン</t>
    </rPh>
    <phoneticPr fontId="24"/>
  </si>
  <si>
    <t>備考</t>
    <rPh sb="0" eb="2">
      <t>ビコウ</t>
    </rPh>
    <phoneticPr fontId="24"/>
  </si>
  <si>
    <t>自動採番</t>
    <rPh sb="0" eb="2">
      <t>ジドウ</t>
    </rPh>
    <rPh sb="2" eb="4">
      <t>サイバン</t>
    </rPh>
    <phoneticPr fontId="24"/>
  </si>
  <si>
    <t>4大モール</t>
    <rPh sb="1" eb="2">
      <t>ダイ</t>
    </rPh>
    <phoneticPr fontId="24"/>
  </si>
  <si>
    <t>例：</t>
    <rPh sb="0" eb="1">
      <t>レイ</t>
    </rPh>
    <phoneticPr fontId="24"/>
  </si>
  <si>
    <t>上新電機</t>
    <rPh sb="0" eb="4">
      <t>ジョウシンデンキ</t>
    </rPh>
    <phoneticPr fontId="24"/>
  </si>
  <si>
    <t>ビックカメラ</t>
    <phoneticPr fontId="24"/>
  </si>
  <si>
    <t>ヨドバシカメラ</t>
    <phoneticPr fontId="24"/>
  </si>
  <si>
    <t>ロフト</t>
    <phoneticPr fontId="24"/>
  </si>
  <si>
    <t>アスクル</t>
    <phoneticPr fontId="24"/>
  </si>
  <si>
    <t>バーコードの構成について</t>
    <rPh sb="6" eb="8">
      <t>コウセイ</t>
    </rPh>
    <phoneticPr fontId="24"/>
  </si>
  <si>
    <t>すべてのバーコードは下記の種類対応できるように</t>
    <rPh sb="10" eb="12">
      <t>カキ</t>
    </rPh>
    <rPh sb="13" eb="15">
      <t>シュルイ</t>
    </rPh>
    <rPh sb="15" eb="17">
      <t>タイオウ</t>
    </rPh>
    <phoneticPr fontId="24"/>
  </si>
  <si>
    <t>名称</t>
  </si>
  <si>
    <t>JAN/EAN/UPC</t>
  </si>
  <si>
    <t>Interleaved 2 of 5</t>
  </si>
  <si>
    <t>( ITF)</t>
  </si>
  <si>
    <t>Code39</t>
  </si>
  <si>
    <t>NW-7</t>
  </si>
  <si>
    <t>（Codabar）</t>
  </si>
  <si>
    <t>Code128</t>
  </si>
  <si>
    <t> 読み方</t>
  </si>
  <si>
    <t>ジャン/イアン/ユーピーシー</t>
  </si>
  <si>
    <t>インターリーブド 2 オブ 5</t>
  </si>
  <si>
    <t>(アイティーエフ)</t>
  </si>
  <si>
    <t>コード39</t>
  </si>
  <si>
    <t>エヌダブリュー7</t>
  </si>
  <si>
    <t>（コーダバー）</t>
  </si>
  <si>
    <t>コード128</t>
  </si>
  <si>
    <t>シンボル</t>
  </si>
  <si>
    <t>文字の</t>
  </si>
  <si>
    <t>種類</t>
  </si>
  <si>
    <t>数字（0 〜9）のみ</t>
  </si>
  <si>
    <t>数字（0 〜9）</t>
  </si>
  <si>
    <t>アルファベット大文字</t>
  </si>
  <si>
    <t>記号（-,.,スペース,$,/,+,%）</t>
  </si>
  <si>
    <t>スタート/ストップキャラクタ</t>
  </si>
  <si>
    <t>（＊：アスタリスク）</t>
  </si>
  <si>
    <t>記号（-,$,/,.,+）</t>
  </si>
  <si>
    <t>（a 〜d）</t>
  </si>
  <si>
    <t>アスキーコード全文字 　</t>
  </si>
  <si>
    <t>数字（0 〜9） 　</t>
  </si>
  <si>
    <t>アルファベット大文字/小文字</t>
  </si>
  <si>
    <t>記号</t>
  </si>
  <si>
    <t>制御文字(［CR］［STX］など）</t>
  </si>
  <si>
    <t>特徴</t>
  </si>
  <si>
    <t>流通コードとして、JISにより規格化されている。JANは日本での呼称で、国際的にはEANと呼び、アメリカ、カナダではUPCと呼ばれている</t>
  </si>
  <si>
    <t>相互に互換性のある国際的な共通商品コードです</t>
  </si>
  <si>
    <t>同じ桁数ならば他のコードに比べ、バーコードの大き さを小さくできる</t>
  </si>
  <si>
    <t>アルファベットや記号が扱えるため、品番などを表現できる</t>
  </si>
  <si>
    <t>いくつかのアルファベット、いくつかの記号が表現できる</t>
  </si>
  <si>
    <t>あらゆる種類の文字が扱える。</t>
  </si>
  <si>
    <t>数字のみで表すなら、もっともサイズが小さくなる （ただし12桁以上）</t>
  </si>
  <si>
    <t>表現できる</t>
  </si>
  <si>
    <t>桁数</t>
  </si>
  <si>
    <t>13桁または8桁</t>
  </si>
  <si>
    <t>偶数桁のみ</t>
  </si>
  <si>
    <t>自由</t>
  </si>
  <si>
    <t>バー構成</t>
  </si>
  <si>
    <t>の特徴</t>
  </si>
  <si>
    <t>バーのサイズは4種類</t>
  </si>
  <si>
    <t>スタート/ストップキャラクタはない</t>
  </si>
  <si>
    <t>2本のバー、2本のスペースで1文字を表す"</t>
  </si>
  <si>
    <t>バーのサイズは2種類</t>
  </si>
  <si>
    <t>5本のバー（または5本のスペース）で1文字を表す</t>
  </si>
  <si>
    <t>スタート/ストップキャラクタは＊</t>
  </si>
  <si>
    <t>5本のバー、4本のスペースで1文字を表す</t>
  </si>
  <si>
    <t>スタート/ストップキャラクタは a〜d</t>
  </si>
  <si>
    <t>4本のバー、3本のスペースで1文字を表す</t>
  </si>
  <si>
    <t>スタート/ストップキャラクタは3種類あり、その種類により、表せる文字種類が異なる</t>
  </si>
  <si>
    <t>3本のバー、3本のスペースで1文字を表す</t>
  </si>
  <si>
    <t>使用</t>
  </si>
  <si>
    <t>実績例</t>
  </si>
  <si>
    <t>世界共通コード</t>
  </si>
  <si>
    <t>生活用品のほぼ全てにマーキングされている</t>
  </si>
  <si>
    <t>書籍、雑誌業界</t>
  </si>
  <si>
    <t>家電業界</t>
  </si>
  <si>
    <t>アパレル業界</t>
  </si>
  <si>
    <t>物流商品用コードとして、ITFとは別にJIS化されている</t>
  </si>
  <si>
    <t>工業用バーコードとして多く使われている</t>
  </si>
  <si>
    <t>米国自動車工業会（AIAG）</t>
  </si>
  <si>
    <t>電子情報技術産業協会（JEITA）</t>
  </si>
  <si>
    <t>宅配便の伝票</t>
  </si>
  <si>
    <t>DPE</t>
  </si>
  <si>
    <t>図書館の貸し出し管理</t>
  </si>
  <si>
    <t>GS1-128として、各業界で利用され始めている</t>
  </si>
  <si>
    <t>日本チェーンストア協会</t>
  </si>
  <si>
    <t>冷凍、チルド食品業界</t>
  </si>
  <si>
    <t>医療業界</t>
  </si>
  <si>
    <t>LogifastWMSのBCDバーコードの対応種類</t>
    <rPh sb="21" eb="23">
      <t>タイオウ</t>
    </rPh>
    <rPh sb="23" eb="25">
      <t>シュルイ</t>
    </rPh>
    <phoneticPr fontId="24"/>
  </si>
  <si>
    <t>１つのファイルでの管理願います。アップロード及びダウンロードできるように、プラス、入力機能もよろしくお願いいたします。</t>
    <rPh sb="9" eb="11">
      <t>カンリ</t>
    </rPh>
    <rPh sb="11" eb="12">
      <t>ネガ</t>
    </rPh>
    <rPh sb="22" eb="23">
      <t>オヨ</t>
    </rPh>
    <rPh sb="41" eb="43">
      <t>ニュウリョク</t>
    </rPh>
    <rPh sb="43" eb="45">
      <t>キノウ</t>
    </rPh>
    <rPh sb="51" eb="52">
      <t>ネガ</t>
    </rPh>
    <phoneticPr fontId="24"/>
  </si>
  <si>
    <t>配送会社の適用サイズ
（外箱の三辺サイズの合計で右側のサイズ区分を判定します）。SSサイズはQA参照。</t>
    <rPh sb="0" eb="2">
      <t>ハイソウ</t>
    </rPh>
    <rPh sb="2" eb="4">
      <t>カイシャ</t>
    </rPh>
    <rPh sb="5" eb="7">
      <t>テキヨウ</t>
    </rPh>
    <rPh sb="12" eb="14">
      <t>ソトバコ</t>
    </rPh>
    <rPh sb="15" eb="16">
      <t>ミ</t>
    </rPh>
    <rPh sb="16" eb="17">
      <t>ペン</t>
    </rPh>
    <rPh sb="21" eb="23">
      <t>ゴウケイ</t>
    </rPh>
    <rPh sb="24" eb="26">
      <t>ミギガワ</t>
    </rPh>
    <rPh sb="30" eb="32">
      <t>クブン</t>
    </rPh>
    <rPh sb="33" eb="35">
      <t>ハンテイ</t>
    </rPh>
    <rPh sb="48" eb="50">
      <t>サンショウ</t>
    </rPh>
    <phoneticPr fontId="24"/>
  </si>
  <si>
    <t>楽天市場</t>
    <rPh sb="0" eb="2">
      <t>ラクテン</t>
    </rPh>
    <rPh sb="2" eb="4">
      <t>シジョウ</t>
    </rPh>
    <phoneticPr fontId="24"/>
  </si>
  <si>
    <t>ヤフーショッピング</t>
    <phoneticPr fontId="24"/>
  </si>
  <si>
    <t>WOWMA</t>
    <phoneticPr fontId="24"/>
  </si>
  <si>
    <t>スーパーデリバリー</t>
    <phoneticPr fontId="24"/>
  </si>
  <si>
    <t>ヤフーオークション</t>
    <phoneticPr fontId="24"/>
  </si>
  <si>
    <t>メルカリ</t>
    <phoneticPr fontId="24"/>
  </si>
  <si>
    <t>Makeshop</t>
    <phoneticPr fontId="24"/>
  </si>
  <si>
    <t>Qoo10</t>
    <phoneticPr fontId="24"/>
  </si>
  <si>
    <t>ZOZOTOWN</t>
    <phoneticPr fontId="24"/>
  </si>
  <si>
    <t>ラクマ</t>
    <phoneticPr fontId="24"/>
  </si>
  <si>
    <t>Temu</t>
    <phoneticPr fontId="24"/>
  </si>
  <si>
    <t>BASE</t>
    <phoneticPr fontId="24"/>
  </si>
  <si>
    <t>STORES</t>
    <phoneticPr fontId="24"/>
  </si>
  <si>
    <t>Shopify</t>
    <phoneticPr fontId="24"/>
  </si>
  <si>
    <t>ecforce</t>
    <phoneticPr fontId="24"/>
  </si>
  <si>
    <t>カラーミーショップ</t>
    <phoneticPr fontId="24"/>
  </si>
  <si>
    <t>TikTok</t>
    <phoneticPr fontId="24"/>
  </si>
  <si>
    <t>LINE</t>
    <phoneticPr fontId="24"/>
  </si>
  <si>
    <t>Netsea</t>
    <phoneticPr fontId="24"/>
  </si>
  <si>
    <t>SHEIN</t>
    <phoneticPr fontId="24"/>
  </si>
  <si>
    <t>入り数(外箱に入る入数）</t>
    <rPh sb="0" eb="1">
      <t>イ</t>
    </rPh>
    <rPh sb="2" eb="3">
      <t>スウ</t>
    </rPh>
    <rPh sb="4" eb="6">
      <t>ソトバコ</t>
    </rPh>
    <rPh sb="7" eb="8">
      <t>ハイ</t>
    </rPh>
    <rPh sb="9" eb="11">
      <t>イリスウ</t>
    </rPh>
    <phoneticPr fontId="24"/>
  </si>
  <si>
    <t>外箱ケースサイズ縦㎝</t>
    <rPh sb="0" eb="2">
      <t>ソトバコ</t>
    </rPh>
    <rPh sb="8" eb="9">
      <t>タテ</t>
    </rPh>
    <phoneticPr fontId="24"/>
  </si>
  <si>
    <t>外箱ケースサイズ横㎝</t>
    <rPh sb="0" eb="2">
      <t>ソトバコ</t>
    </rPh>
    <rPh sb="8" eb="9">
      <t>ヨコ</t>
    </rPh>
    <phoneticPr fontId="24"/>
  </si>
  <si>
    <t>外箱ケースサイズ高㎝</t>
    <rPh sb="0" eb="2">
      <t>ソトバコ</t>
    </rPh>
    <rPh sb="8" eb="9">
      <t>タカ</t>
    </rPh>
    <phoneticPr fontId="24"/>
  </si>
  <si>
    <t>外箱ケースの容積</t>
    <rPh sb="0" eb="2">
      <t>ソトバコ</t>
    </rPh>
    <rPh sb="6" eb="8">
      <t>ヨウセキ</t>
    </rPh>
    <phoneticPr fontId="24"/>
  </si>
  <si>
    <t>外箱ケース重量㎏</t>
    <rPh sb="0" eb="2">
      <t>ソトバコ</t>
    </rPh>
    <rPh sb="5" eb="7">
      <t>ジュウリョウ</t>
    </rPh>
    <phoneticPr fontId="24"/>
  </si>
  <si>
    <t>有償無償区分</t>
    <rPh sb="0" eb="2">
      <t>ユウショウ</t>
    </rPh>
    <rPh sb="2" eb="4">
      <t>ムショウ</t>
    </rPh>
    <rPh sb="4" eb="6">
      <t>クブン</t>
    </rPh>
    <phoneticPr fontId="24"/>
  </si>
  <si>
    <t>0：無償。１：有償</t>
    <rPh sb="2" eb="4">
      <t>ムショウ</t>
    </rPh>
    <rPh sb="7" eb="9">
      <t>ユウショウ</t>
    </rPh>
    <phoneticPr fontId="24"/>
  </si>
  <si>
    <t>通貨</t>
    <rPh sb="0" eb="2">
      <t>ツウカ</t>
    </rPh>
    <phoneticPr fontId="24"/>
  </si>
  <si>
    <t>航空搭載禁止区分</t>
    <rPh sb="0" eb="2">
      <t>コウクウ</t>
    </rPh>
    <rPh sb="2" eb="4">
      <t>トウサイ</t>
    </rPh>
    <rPh sb="4" eb="6">
      <t>キンシ</t>
    </rPh>
    <rPh sb="6" eb="8">
      <t>クブン</t>
    </rPh>
    <phoneticPr fontId="138"/>
  </si>
  <si>
    <t>国コードで管理</t>
    <rPh sb="0" eb="1">
      <t>クニ</t>
    </rPh>
    <rPh sb="5" eb="7">
      <t>カンリ</t>
    </rPh>
    <phoneticPr fontId="24"/>
  </si>
  <si>
    <t>初期値:0(可能)
0:可能 1:禁止</t>
    <phoneticPr fontId="24"/>
  </si>
  <si>
    <t>商品に貼っているバーコード</t>
    <rPh sb="0" eb="2">
      <t>ショウヒン</t>
    </rPh>
    <rPh sb="3" eb="4">
      <t>ハ</t>
    </rPh>
    <phoneticPr fontId="24"/>
  </si>
  <si>
    <t>ヤマダ電機</t>
    <rPh sb="3" eb="5">
      <t>デンキ</t>
    </rPh>
    <phoneticPr fontId="24"/>
  </si>
  <si>
    <t>ノジマ</t>
    <phoneticPr fontId="24"/>
  </si>
  <si>
    <t>エディオン</t>
    <phoneticPr fontId="24"/>
  </si>
  <si>
    <t>ケーズデンキ</t>
    <phoneticPr fontId="24"/>
  </si>
  <si>
    <t>コジマ</t>
    <phoneticPr fontId="24"/>
  </si>
  <si>
    <t>マツヤデンキ</t>
    <phoneticPr fontId="24"/>
  </si>
  <si>
    <t>九州テックランド</t>
    <rPh sb="0" eb="2">
      <t>キュウシュウ</t>
    </rPh>
    <phoneticPr fontId="24"/>
  </si>
  <si>
    <t>大塚家具</t>
    <rPh sb="0" eb="2">
      <t>オオツカ</t>
    </rPh>
    <rPh sb="2" eb="4">
      <t>カグ</t>
    </rPh>
    <phoneticPr fontId="24"/>
  </si>
  <si>
    <t>ニトリ</t>
    <phoneticPr fontId="24"/>
  </si>
  <si>
    <t>1:JPY.2:RMB.3:USD</t>
    <phoneticPr fontId="24"/>
  </si>
  <si>
    <t>出荷検品時、商品との紐づけ作業あり</t>
    <rPh sb="0" eb="2">
      <t>シュッカ</t>
    </rPh>
    <rPh sb="2" eb="4">
      <t>ケンピン</t>
    </rPh>
    <rPh sb="4" eb="5">
      <t>ジ</t>
    </rPh>
    <rPh sb="6" eb="8">
      <t>ショウヒン</t>
    </rPh>
    <rPh sb="10" eb="11">
      <t>ヒモ</t>
    </rPh>
    <rPh sb="13" eb="15">
      <t>サギョウ</t>
    </rPh>
    <phoneticPr fontId="24"/>
  </si>
  <si>
    <t>数字号</t>
  </si>
  <si>
    <t>2桁</t>
  </si>
  <si>
    <t>3桁</t>
  </si>
  <si>
    <t>国・地域名</t>
  </si>
  <si>
    <t>英名</t>
  </si>
  <si>
    <t>場所</t>
  </si>
  <si>
    <t>AD</t>
  </si>
  <si>
    <t>AND</t>
  </si>
  <si>
    <t>アンドラ</t>
  </si>
  <si>
    <t>Andorra</t>
  </si>
  <si>
    <t>西ヨーロッパ</t>
  </si>
  <si>
    <t>AE</t>
  </si>
  <si>
    <t>ARE</t>
  </si>
  <si>
    <t>アラブ首長国連邦</t>
  </si>
  <si>
    <t>United Arab Emirates</t>
  </si>
  <si>
    <t>中東</t>
  </si>
  <si>
    <t>AF</t>
  </si>
  <si>
    <t>AFG</t>
  </si>
  <si>
    <t>アフガニスタン</t>
  </si>
  <si>
    <t>Afghanistan</t>
  </si>
  <si>
    <t>AG</t>
  </si>
  <si>
    <t>ATG</t>
  </si>
  <si>
    <t>アンティグア・バーブーダ</t>
  </si>
  <si>
    <t>Antigua and Ba</t>
  </si>
  <si>
    <t>中央アメリカ</t>
  </si>
  <si>
    <t>AI</t>
  </si>
  <si>
    <t>AIA</t>
  </si>
  <si>
    <t>アンギラ</t>
  </si>
  <si>
    <t>Anguilla</t>
  </si>
  <si>
    <t>AL</t>
  </si>
  <si>
    <t>ALB</t>
  </si>
  <si>
    <t>アルバニア</t>
  </si>
  <si>
    <t>Albania</t>
  </si>
  <si>
    <t>東ヨーロッパ</t>
  </si>
  <si>
    <t>AM</t>
  </si>
  <si>
    <t>ARM</t>
  </si>
  <si>
    <t>アルメニア</t>
  </si>
  <si>
    <t>Armenia</t>
  </si>
  <si>
    <t>AO</t>
  </si>
  <si>
    <t>AGO</t>
  </si>
  <si>
    <t>アンゴラ</t>
  </si>
  <si>
    <t>Angola</t>
  </si>
  <si>
    <t>南アフリカ</t>
  </si>
  <si>
    <t>AQ</t>
  </si>
  <si>
    <t>ATA</t>
  </si>
  <si>
    <t>南極</t>
  </si>
  <si>
    <t>Antarctica</t>
  </si>
  <si>
    <t>AR</t>
  </si>
  <si>
    <t>ARG</t>
  </si>
  <si>
    <t>アルゼンチン</t>
  </si>
  <si>
    <t>Argentina</t>
  </si>
  <si>
    <t>南アメリカ</t>
  </si>
  <si>
    <t>AS</t>
  </si>
  <si>
    <t>ASM</t>
  </si>
  <si>
    <t>アメリカ領サモア</t>
  </si>
  <si>
    <t>American Sam</t>
  </si>
  <si>
    <t>オセアニア</t>
  </si>
  <si>
    <t>AT</t>
  </si>
  <si>
    <t>AUT</t>
  </si>
  <si>
    <t>オーストリア</t>
  </si>
  <si>
    <t>Austria</t>
  </si>
  <si>
    <t>AU</t>
  </si>
  <si>
    <t>AUS</t>
  </si>
  <si>
    <t>オーストラリア</t>
  </si>
  <si>
    <t>Australia</t>
  </si>
  <si>
    <t>AW</t>
  </si>
  <si>
    <t>ABW</t>
  </si>
  <si>
    <t>アルバ</t>
  </si>
  <si>
    <t>Aruba</t>
  </si>
  <si>
    <t>AX</t>
  </si>
  <si>
    <t>ALA</t>
  </si>
  <si>
    <t>オーランド諸島</t>
  </si>
  <si>
    <t>_land Islands</t>
  </si>
  <si>
    <t>北ヨーロッパ</t>
  </si>
  <si>
    <t>AZ</t>
  </si>
  <si>
    <t>AZE</t>
  </si>
  <si>
    <t>アゼルバイジャン</t>
  </si>
  <si>
    <t>Azerbaijan</t>
  </si>
  <si>
    <t>BA</t>
  </si>
  <si>
    <t>BIH</t>
  </si>
  <si>
    <t>ボスニア・ヘルツェゴビナ</t>
  </si>
  <si>
    <t>Bosnia and He</t>
  </si>
  <si>
    <t>BB</t>
  </si>
  <si>
    <t>BRB</t>
  </si>
  <si>
    <t>バルバドス</t>
  </si>
  <si>
    <t>Barbados</t>
  </si>
  <si>
    <t>BD</t>
  </si>
  <si>
    <t>BGD</t>
  </si>
  <si>
    <t>バングラデシュ</t>
  </si>
  <si>
    <t>Bangladesh</t>
  </si>
  <si>
    <t>南アジア</t>
  </si>
  <si>
    <t>BE</t>
  </si>
  <si>
    <t>BEL</t>
  </si>
  <si>
    <t>ベルギー</t>
  </si>
  <si>
    <t>Belgium</t>
  </si>
  <si>
    <t>BF</t>
  </si>
  <si>
    <t>BFA</t>
  </si>
  <si>
    <t>ブルキナファソ</t>
  </si>
  <si>
    <t>Burkina Faso</t>
  </si>
  <si>
    <t>西アフリカ</t>
  </si>
  <si>
    <t>BG</t>
  </si>
  <si>
    <t>BGR</t>
  </si>
  <si>
    <t>ブルガリア</t>
  </si>
  <si>
    <t>Bulgaria</t>
  </si>
  <si>
    <t>BH</t>
  </si>
  <si>
    <t>BHR</t>
  </si>
  <si>
    <t>バーレーン</t>
  </si>
  <si>
    <t>Bahrain</t>
  </si>
  <si>
    <t>BI</t>
  </si>
  <si>
    <t>BDI</t>
  </si>
  <si>
    <t>ブルンジ</t>
  </si>
  <si>
    <t>Burundi</t>
  </si>
  <si>
    <t>中央アフリカ</t>
  </si>
  <si>
    <t>BJ</t>
  </si>
  <si>
    <t>BEN</t>
  </si>
  <si>
    <t>ベナン</t>
  </si>
  <si>
    <t>Benin</t>
  </si>
  <si>
    <t>BL</t>
  </si>
  <si>
    <t>BLM</t>
  </si>
  <si>
    <t>サン・バルテルミー</t>
  </si>
  <si>
    <t>Saint Barth_le</t>
  </si>
  <si>
    <t>BM</t>
  </si>
  <si>
    <t>BMU</t>
  </si>
  <si>
    <t>バミューダ</t>
  </si>
  <si>
    <t>Bermuda</t>
  </si>
  <si>
    <t>BN</t>
  </si>
  <si>
    <t>BRN</t>
  </si>
  <si>
    <t>ブルネイ・ダルサラーム</t>
  </si>
  <si>
    <t>Brunei Daruss</t>
  </si>
  <si>
    <t>東南アジア</t>
  </si>
  <si>
    <t>BO</t>
  </si>
  <si>
    <t>BOL</t>
  </si>
  <si>
    <t>ボリビア多民族国</t>
  </si>
  <si>
    <t>Bolivia, Plurinational State of</t>
  </si>
  <si>
    <t>BQ</t>
  </si>
  <si>
    <t>BES</t>
  </si>
  <si>
    <t>ボネール、シント・ユースタティウスおよびサバ</t>
  </si>
  <si>
    <t>Bonaire, Saint Eustatius and Saba</t>
  </si>
  <si>
    <t>BR</t>
  </si>
  <si>
    <t>BRA</t>
  </si>
  <si>
    <t>ブラジル</t>
  </si>
  <si>
    <t>Brazil</t>
  </si>
  <si>
    <t>BS</t>
  </si>
  <si>
    <t>BHS</t>
  </si>
  <si>
    <t>バハマ</t>
  </si>
  <si>
    <t>Bahamas</t>
  </si>
  <si>
    <t>BT</t>
  </si>
  <si>
    <t>BTN</t>
  </si>
  <si>
    <t>ブータン</t>
  </si>
  <si>
    <t>Bhutan</t>
  </si>
  <si>
    <t>BV</t>
  </si>
  <si>
    <t>BVT</t>
  </si>
  <si>
    <t>ブーベ島</t>
  </si>
  <si>
    <t>Bouvet Island</t>
  </si>
  <si>
    <t>BW</t>
  </si>
  <si>
    <t>BWA</t>
  </si>
  <si>
    <t>ボツワナ</t>
  </si>
  <si>
    <t>Botswana</t>
  </si>
  <si>
    <t>BY</t>
  </si>
  <si>
    <t>BLR</t>
  </si>
  <si>
    <t>ベラルーシ</t>
  </si>
  <si>
    <t>Belarus</t>
  </si>
  <si>
    <t>BZ</t>
  </si>
  <si>
    <t>BLZ</t>
  </si>
  <si>
    <t>ベリーズ</t>
  </si>
  <si>
    <t>Belize</t>
  </si>
  <si>
    <t>CA</t>
  </si>
  <si>
    <t>CAN</t>
  </si>
  <si>
    <t>カナダ</t>
  </si>
  <si>
    <t>Canada</t>
  </si>
  <si>
    <t>北アメリカ</t>
  </si>
  <si>
    <t>CC</t>
  </si>
  <si>
    <t>CCK</t>
  </si>
  <si>
    <t>ココス（キーリング）諸島</t>
  </si>
  <si>
    <t>Cocos (Keeling</t>
  </si>
  <si>
    <t>インド洋地域</t>
  </si>
  <si>
    <t>CD</t>
  </si>
  <si>
    <t>COD</t>
  </si>
  <si>
    <t>コンゴ民主共和国</t>
  </si>
  <si>
    <t>Congo, the Democratic Republic of the</t>
  </si>
  <si>
    <t>CF</t>
  </si>
  <si>
    <t>CAF</t>
  </si>
  <si>
    <t>中央アフリカ共和国</t>
  </si>
  <si>
    <t>Central African</t>
  </si>
  <si>
    <t>CG</t>
  </si>
  <si>
    <t>COG</t>
  </si>
  <si>
    <t>コンゴ共和国</t>
  </si>
  <si>
    <t>Congo</t>
  </si>
  <si>
    <t>CH</t>
  </si>
  <si>
    <t>CHE</t>
  </si>
  <si>
    <t>スイス</t>
  </si>
  <si>
    <t>Switzerland</t>
  </si>
  <si>
    <t>CI</t>
  </si>
  <si>
    <t>CIV</t>
  </si>
  <si>
    <t>コートジボワール</t>
  </si>
  <si>
    <t>C_te d'Ivoire</t>
  </si>
  <si>
    <t>CK</t>
  </si>
  <si>
    <t>COK</t>
  </si>
  <si>
    <t>クック諸島</t>
  </si>
  <si>
    <t>Cook Islands</t>
  </si>
  <si>
    <t>CL</t>
  </si>
  <si>
    <t>CHL</t>
  </si>
  <si>
    <t>チリ</t>
  </si>
  <si>
    <t>Chile</t>
  </si>
  <si>
    <t>CM</t>
  </si>
  <si>
    <t>CMR</t>
  </si>
  <si>
    <t>カメルーン</t>
  </si>
  <si>
    <t>Cameroon</t>
  </si>
  <si>
    <t>CN</t>
  </si>
  <si>
    <t>CHN</t>
  </si>
  <si>
    <t>中華人民共和国</t>
  </si>
  <si>
    <t>China</t>
  </si>
  <si>
    <t>東アジア</t>
  </si>
  <si>
    <t>CO</t>
  </si>
  <si>
    <t>COL</t>
  </si>
  <si>
    <t>コロンビア</t>
  </si>
  <si>
    <t>Colombia</t>
  </si>
  <si>
    <t>CR</t>
  </si>
  <si>
    <t>CRI</t>
  </si>
  <si>
    <t>コスタリカ</t>
  </si>
  <si>
    <t>Costa Rica</t>
  </si>
  <si>
    <t>CU</t>
  </si>
  <si>
    <t>CUB</t>
  </si>
  <si>
    <t>キューバ</t>
  </si>
  <si>
    <t>Cuba</t>
  </si>
  <si>
    <t>CV</t>
  </si>
  <si>
    <t>CPV</t>
  </si>
  <si>
    <t>カーボベルデ</t>
  </si>
  <si>
    <t>Cape Verde</t>
  </si>
  <si>
    <t>CW</t>
  </si>
  <si>
    <t>CUW</t>
  </si>
  <si>
    <t>キュラソー</t>
  </si>
  <si>
    <t>Cura_ao</t>
  </si>
  <si>
    <t>CX</t>
  </si>
  <si>
    <t>CXR</t>
  </si>
  <si>
    <t>クリスマス島</t>
  </si>
  <si>
    <t>Christmas Isla</t>
  </si>
  <si>
    <t>CY</t>
  </si>
  <si>
    <t>CYP</t>
  </si>
  <si>
    <t>キプロス</t>
  </si>
  <si>
    <t>Cyprus</t>
  </si>
  <si>
    <t>地中海地域</t>
  </si>
  <si>
    <t>CZ</t>
  </si>
  <si>
    <t>CZE</t>
  </si>
  <si>
    <t>チェコ</t>
  </si>
  <si>
    <t>Czechia</t>
  </si>
  <si>
    <t>DE</t>
  </si>
  <si>
    <t>DEU</t>
  </si>
  <si>
    <t>ドイツ</t>
  </si>
  <si>
    <t>Germany</t>
  </si>
  <si>
    <t>DJ</t>
  </si>
  <si>
    <t>DJI</t>
  </si>
  <si>
    <t>ジブチ</t>
  </si>
  <si>
    <t>Djibouti</t>
  </si>
  <si>
    <t>東アフリカ</t>
  </si>
  <si>
    <t>DK</t>
  </si>
  <si>
    <t>DNK</t>
  </si>
  <si>
    <t>デンマーク</t>
  </si>
  <si>
    <t>Denmark</t>
  </si>
  <si>
    <t>DM</t>
  </si>
  <si>
    <t>DMA</t>
  </si>
  <si>
    <t>ドミニカ国</t>
  </si>
  <si>
    <t>Dominica</t>
  </si>
  <si>
    <t>DO</t>
  </si>
  <si>
    <t>DOM</t>
  </si>
  <si>
    <t>ドミニカ共和国</t>
  </si>
  <si>
    <t>Dominican Rep</t>
  </si>
  <si>
    <t>DZ</t>
  </si>
  <si>
    <t>DZA</t>
  </si>
  <si>
    <t>アルジェリア</t>
  </si>
  <si>
    <t>Algeria</t>
  </si>
  <si>
    <t>北アフリカ</t>
  </si>
  <si>
    <t>EC</t>
  </si>
  <si>
    <t>ECU</t>
  </si>
  <si>
    <t>エクアドル</t>
  </si>
  <si>
    <t>Ecuador</t>
  </si>
  <si>
    <t>EE</t>
  </si>
  <si>
    <t>EST</t>
  </si>
  <si>
    <t>エストニア</t>
  </si>
  <si>
    <t>Estonia</t>
  </si>
  <si>
    <t>EG</t>
  </si>
  <si>
    <t>EGY</t>
  </si>
  <si>
    <t>エジプト</t>
  </si>
  <si>
    <t>Egypt</t>
  </si>
  <si>
    <t>EH</t>
  </si>
  <si>
    <t>ESH</t>
  </si>
  <si>
    <t>西サハラ</t>
  </si>
  <si>
    <t>Western Sahar</t>
  </si>
  <si>
    <t>ER</t>
  </si>
  <si>
    <t>ERI</t>
  </si>
  <si>
    <t>エリトリア</t>
  </si>
  <si>
    <t>Eritrea</t>
  </si>
  <si>
    <t>ES</t>
  </si>
  <si>
    <t>ESP</t>
  </si>
  <si>
    <t>スペイン</t>
  </si>
  <si>
    <t>Spain</t>
  </si>
  <si>
    <t>ET</t>
  </si>
  <si>
    <t>ETH</t>
  </si>
  <si>
    <t>エチオピア</t>
  </si>
  <si>
    <t>Ethiopia</t>
  </si>
  <si>
    <t>FI</t>
  </si>
  <si>
    <t>FIN</t>
  </si>
  <si>
    <t>フィンランド</t>
  </si>
  <si>
    <t>Finland</t>
  </si>
  <si>
    <t>FJ</t>
  </si>
  <si>
    <t>FJI</t>
  </si>
  <si>
    <t>フィジー</t>
  </si>
  <si>
    <t>Fiji</t>
  </si>
  <si>
    <t>FK</t>
  </si>
  <si>
    <t>FLK</t>
  </si>
  <si>
    <t>フォークランド（マルビナス）諸島</t>
  </si>
  <si>
    <t>Falkland Island</t>
  </si>
  <si>
    <t>FM</t>
  </si>
  <si>
    <t>FSM</t>
  </si>
  <si>
    <t>ミクロネシア連邦</t>
  </si>
  <si>
    <t>Micronesia, Federated States of</t>
  </si>
  <si>
    <t>FO</t>
  </si>
  <si>
    <t>FRO</t>
  </si>
  <si>
    <t>フェロー諸島</t>
  </si>
  <si>
    <t>Faroe Islands</t>
  </si>
  <si>
    <t>FR</t>
  </si>
  <si>
    <t>FRA</t>
  </si>
  <si>
    <t>フランス</t>
  </si>
  <si>
    <t>France</t>
  </si>
  <si>
    <t>GA</t>
  </si>
  <si>
    <t>GAB</t>
  </si>
  <si>
    <t>ガボン</t>
  </si>
  <si>
    <t>Gabon</t>
  </si>
  <si>
    <t>GB</t>
  </si>
  <si>
    <t>GBR</t>
  </si>
  <si>
    <t>イギリス</t>
  </si>
  <si>
    <t>United Kingdo</t>
  </si>
  <si>
    <t>GD</t>
  </si>
  <si>
    <t>GRD</t>
  </si>
  <si>
    <t>グレナダ</t>
  </si>
  <si>
    <t>Grenada</t>
  </si>
  <si>
    <t>GE</t>
  </si>
  <si>
    <t>GEO</t>
  </si>
  <si>
    <t>ジョージア</t>
  </si>
  <si>
    <t>Georgia</t>
  </si>
  <si>
    <t>GF</t>
  </si>
  <si>
    <t>GUF</t>
  </si>
  <si>
    <t>フランス領ギアナ</t>
  </si>
  <si>
    <t>French Guiana</t>
  </si>
  <si>
    <t>GG</t>
  </si>
  <si>
    <t>GGY</t>
  </si>
  <si>
    <t>ガーンジー</t>
  </si>
  <si>
    <t>Guernsey</t>
  </si>
  <si>
    <t>GH</t>
  </si>
  <si>
    <t>GHA</t>
  </si>
  <si>
    <t>ガーナ</t>
  </si>
  <si>
    <t>Ghana</t>
  </si>
  <si>
    <t>GI</t>
  </si>
  <si>
    <t>GIB</t>
  </si>
  <si>
    <t>ジブラルタル</t>
  </si>
  <si>
    <t>Gibraltar</t>
  </si>
  <si>
    <t>GL</t>
  </si>
  <si>
    <t>GRL</t>
  </si>
  <si>
    <t>グリーンランド</t>
  </si>
  <si>
    <t>Greenland</t>
  </si>
  <si>
    <t>GM</t>
  </si>
  <si>
    <t>GMB</t>
  </si>
  <si>
    <t>ガンビア</t>
  </si>
  <si>
    <t>Gambia</t>
  </si>
  <si>
    <t>GN</t>
  </si>
  <si>
    <t>GIN</t>
  </si>
  <si>
    <t>ギニア</t>
  </si>
  <si>
    <t>Guinea</t>
  </si>
  <si>
    <t>GP</t>
  </si>
  <si>
    <t>GLP</t>
  </si>
  <si>
    <t>グアドループ</t>
  </si>
  <si>
    <t>Guadeloupe</t>
  </si>
  <si>
    <t>GQ</t>
  </si>
  <si>
    <t>GNQ</t>
  </si>
  <si>
    <t>赤道ギニア</t>
  </si>
  <si>
    <t>Equatorial Gui</t>
  </si>
  <si>
    <t>GR</t>
  </si>
  <si>
    <t>GRC</t>
  </si>
  <si>
    <t>ギリシャ</t>
  </si>
  <si>
    <t>Greece</t>
  </si>
  <si>
    <t>GS</t>
  </si>
  <si>
    <t>SGS</t>
  </si>
  <si>
    <t>サウスジョージア・</t>
  </si>
  <si>
    <t>サウスサンドウィッチ諸島</t>
  </si>
  <si>
    <t>South Georgia and the South Sandwich Islands</t>
  </si>
  <si>
    <t>GT</t>
  </si>
  <si>
    <t>GTM</t>
  </si>
  <si>
    <t>グアテマラ</t>
  </si>
  <si>
    <t>Guatemala</t>
  </si>
  <si>
    <t>GU</t>
  </si>
  <si>
    <t>GUM</t>
  </si>
  <si>
    <t>グアム</t>
  </si>
  <si>
    <t>Guam</t>
  </si>
  <si>
    <t>GW</t>
  </si>
  <si>
    <t>GNB</t>
  </si>
  <si>
    <t>ギニアビサウ</t>
  </si>
  <si>
    <t>Guinea-Bissau</t>
  </si>
  <si>
    <t>GY</t>
  </si>
  <si>
    <t>GUY</t>
  </si>
  <si>
    <t>ガイアナ</t>
  </si>
  <si>
    <t>Guyana</t>
  </si>
  <si>
    <t>HK</t>
  </si>
  <si>
    <t>HKG</t>
  </si>
  <si>
    <t>香港</t>
  </si>
  <si>
    <t>Hong Kong</t>
  </si>
  <si>
    <t>HM</t>
  </si>
  <si>
    <t>HMD</t>
  </si>
  <si>
    <t>ハード島とマクドナルド諸島</t>
  </si>
  <si>
    <t>Heard Island and McDonald Islands</t>
  </si>
  <si>
    <t>HN</t>
  </si>
  <si>
    <t>HND</t>
  </si>
  <si>
    <t>ホンジュラス</t>
  </si>
  <si>
    <t>Honduras</t>
  </si>
  <si>
    <t>HR</t>
  </si>
  <si>
    <t>HRV</t>
  </si>
  <si>
    <t>クロアチア</t>
  </si>
  <si>
    <t>Croatia</t>
  </si>
  <si>
    <t>HT</t>
  </si>
  <si>
    <t>HTI</t>
  </si>
  <si>
    <t>ハイチ</t>
  </si>
  <si>
    <t>Haiti</t>
  </si>
  <si>
    <t>HU</t>
  </si>
  <si>
    <t>HUN</t>
  </si>
  <si>
    <t>ハンガリー</t>
  </si>
  <si>
    <t>Hungary</t>
  </si>
  <si>
    <t>ID</t>
  </si>
  <si>
    <t>IDN</t>
  </si>
  <si>
    <t>インドネシア</t>
  </si>
  <si>
    <t>Indonesia</t>
  </si>
  <si>
    <t>IE</t>
  </si>
  <si>
    <t>IRL</t>
  </si>
  <si>
    <t>アイルランド</t>
  </si>
  <si>
    <t>Ireland</t>
  </si>
  <si>
    <t>IL</t>
  </si>
  <si>
    <t>ISR</t>
  </si>
  <si>
    <t>イスラエル</t>
  </si>
  <si>
    <t>Israel</t>
  </si>
  <si>
    <t>IM</t>
  </si>
  <si>
    <t>IMN</t>
  </si>
  <si>
    <t>マン島</t>
  </si>
  <si>
    <t>Isle of Man</t>
  </si>
  <si>
    <t>IN</t>
  </si>
  <si>
    <t>IND</t>
  </si>
  <si>
    <t>インド</t>
  </si>
  <si>
    <t>India</t>
  </si>
  <si>
    <t>IO</t>
  </si>
  <si>
    <t>IOT</t>
  </si>
  <si>
    <t>イギリス領インド洋地域</t>
  </si>
  <si>
    <t>British Indian Ocean Territory</t>
  </si>
  <si>
    <t>IQ</t>
  </si>
  <si>
    <t>IRQ</t>
  </si>
  <si>
    <t>イラク</t>
  </si>
  <si>
    <t>Iraq</t>
  </si>
  <si>
    <t>IR</t>
  </si>
  <si>
    <t>IRN</t>
  </si>
  <si>
    <t>イラン・イスラム共和国</t>
  </si>
  <si>
    <t>Iran, Islamic Republic of</t>
  </si>
  <si>
    <t>IS</t>
  </si>
  <si>
    <t>ISL</t>
  </si>
  <si>
    <t>アイスランド</t>
  </si>
  <si>
    <t>Iceland</t>
  </si>
  <si>
    <t>IT</t>
  </si>
  <si>
    <t>ITA</t>
  </si>
  <si>
    <t>イタリア</t>
  </si>
  <si>
    <t>Italy</t>
  </si>
  <si>
    <t>JE</t>
  </si>
  <si>
    <t>JEY</t>
  </si>
  <si>
    <t>ジャージー</t>
  </si>
  <si>
    <t>Jersey</t>
  </si>
  <si>
    <t>JM</t>
  </si>
  <si>
    <t>JAM</t>
  </si>
  <si>
    <t>ジャマイカ</t>
  </si>
  <si>
    <t>Jamaica</t>
  </si>
  <si>
    <t>JO</t>
  </si>
  <si>
    <t>JOR</t>
  </si>
  <si>
    <t>ヨルダン</t>
  </si>
  <si>
    <t>Jordan</t>
  </si>
  <si>
    <t>JP</t>
  </si>
  <si>
    <t>JPN</t>
  </si>
  <si>
    <t>日本</t>
  </si>
  <si>
    <t>Japan</t>
  </si>
  <si>
    <t>KE</t>
  </si>
  <si>
    <t>KEN</t>
  </si>
  <si>
    <t>ケニア</t>
  </si>
  <si>
    <t>Kenya</t>
  </si>
  <si>
    <t>KG</t>
  </si>
  <si>
    <t>KGZ</t>
  </si>
  <si>
    <t>キルギス</t>
  </si>
  <si>
    <t>Kyrgyzstan</t>
  </si>
  <si>
    <t>中央アジア</t>
  </si>
  <si>
    <t>KH</t>
  </si>
  <si>
    <t>KHM</t>
  </si>
  <si>
    <t>カンボジア</t>
  </si>
  <si>
    <t>Cambodia</t>
  </si>
  <si>
    <t>KI</t>
  </si>
  <si>
    <t>KIR</t>
  </si>
  <si>
    <t>キリバス</t>
  </si>
  <si>
    <t>Kiribati</t>
  </si>
  <si>
    <t>KM</t>
  </si>
  <si>
    <t>COM</t>
  </si>
  <si>
    <t>コモロ</t>
  </si>
  <si>
    <t>Comoros</t>
  </si>
  <si>
    <t>KN</t>
  </si>
  <si>
    <t>KNA</t>
  </si>
  <si>
    <t>セントクリストファー・ネイビス</t>
  </si>
  <si>
    <t>Saint Kitts and</t>
  </si>
  <si>
    <t>KP</t>
  </si>
  <si>
    <t>PRK</t>
  </si>
  <si>
    <t>朝鮮民主主義人民共和国</t>
  </si>
  <si>
    <t>Korea, Democratic People's Republic of</t>
  </si>
  <si>
    <t>KR</t>
  </si>
  <si>
    <t>KOR</t>
  </si>
  <si>
    <t>大韓民国</t>
  </si>
  <si>
    <t>Korea, Republic of</t>
  </si>
  <si>
    <t>KW</t>
  </si>
  <si>
    <t>KWT</t>
  </si>
  <si>
    <t>クウェート</t>
  </si>
  <si>
    <t>Kuwait</t>
  </si>
  <si>
    <t>KY</t>
  </si>
  <si>
    <t>CYM</t>
  </si>
  <si>
    <t>ケイマン諸島</t>
  </si>
  <si>
    <t>Cayman Island</t>
  </si>
  <si>
    <t>KZ</t>
  </si>
  <si>
    <t>KAZ</t>
  </si>
  <si>
    <t>カザフスタン</t>
  </si>
  <si>
    <t>Kazakhstan</t>
  </si>
  <si>
    <t>LA</t>
  </si>
  <si>
    <t>LAO</t>
  </si>
  <si>
    <t>ラオス人民民主共和国</t>
  </si>
  <si>
    <t>Lao People's Democratic Republic</t>
  </si>
  <si>
    <t>LB</t>
  </si>
  <si>
    <t>LBN</t>
  </si>
  <si>
    <t>レバノン</t>
  </si>
  <si>
    <t>Lebanon</t>
  </si>
  <si>
    <t>LC</t>
  </si>
  <si>
    <t>LCA</t>
  </si>
  <si>
    <t>セントルシア</t>
  </si>
  <si>
    <t>Saint Lucia</t>
  </si>
  <si>
    <t>LI</t>
  </si>
  <si>
    <t>LIE</t>
  </si>
  <si>
    <t>リヒテンシュタイン</t>
  </si>
  <si>
    <t>Liechtenstein</t>
  </si>
  <si>
    <t>LK</t>
  </si>
  <si>
    <t>LKA</t>
  </si>
  <si>
    <t>スリランカ</t>
  </si>
  <si>
    <t>Sri Lanka</t>
  </si>
  <si>
    <t>LR</t>
  </si>
  <si>
    <t>LBR</t>
  </si>
  <si>
    <t>リベリア</t>
  </si>
  <si>
    <t>Liberia</t>
  </si>
  <si>
    <t>LS</t>
  </si>
  <si>
    <t>LSO</t>
  </si>
  <si>
    <t>レソト</t>
  </si>
  <si>
    <t>Lesotho</t>
  </si>
  <si>
    <t>LT</t>
  </si>
  <si>
    <t>LTU</t>
  </si>
  <si>
    <t>リトアニア</t>
  </si>
  <si>
    <t>Lithuania</t>
  </si>
  <si>
    <t>LU</t>
  </si>
  <si>
    <t>LUX</t>
  </si>
  <si>
    <t>ルクセンブルク</t>
  </si>
  <si>
    <t>Luxembourg</t>
  </si>
  <si>
    <t>LV</t>
  </si>
  <si>
    <t>LVA</t>
  </si>
  <si>
    <t>ラトビア</t>
  </si>
  <si>
    <t>Latvia</t>
  </si>
  <si>
    <t>LY</t>
  </si>
  <si>
    <t>LBY</t>
  </si>
  <si>
    <t>リビア</t>
  </si>
  <si>
    <t>Libya</t>
  </si>
  <si>
    <t>MA</t>
  </si>
  <si>
    <t>MAR</t>
  </si>
  <si>
    <t>モロッコ</t>
  </si>
  <si>
    <t>Morocco</t>
  </si>
  <si>
    <t>MC</t>
  </si>
  <si>
    <t>MCO</t>
  </si>
  <si>
    <t>モナコ</t>
  </si>
  <si>
    <t>Monaco</t>
  </si>
  <si>
    <t>MD</t>
  </si>
  <si>
    <t>MDA</t>
  </si>
  <si>
    <t>モルドバ共和国</t>
  </si>
  <si>
    <t>Moldova, Republic of</t>
  </si>
  <si>
    <t>ME</t>
  </si>
  <si>
    <t>MNE</t>
  </si>
  <si>
    <t>モンテネグロ</t>
  </si>
  <si>
    <t>Montenegro</t>
  </si>
  <si>
    <t>MF</t>
  </si>
  <si>
    <t>MAF</t>
  </si>
  <si>
    <t>サン・マルタン（フランス領）</t>
  </si>
  <si>
    <t>Saint Martin (F</t>
  </si>
  <si>
    <t>MG</t>
  </si>
  <si>
    <t>MDG</t>
  </si>
  <si>
    <t>マダガスカル</t>
  </si>
  <si>
    <t>Madagascar</t>
  </si>
  <si>
    <t>MH</t>
  </si>
  <si>
    <t>MHL</t>
  </si>
  <si>
    <t>マーシャル諸島</t>
  </si>
  <si>
    <t>Marshall Island</t>
  </si>
  <si>
    <t>MK</t>
  </si>
  <si>
    <t>MKD</t>
  </si>
  <si>
    <t>マケドニア旧ユーゴスラビア共和国</t>
  </si>
  <si>
    <t>Macedonia, the former Yugoslav Republic of</t>
  </si>
  <si>
    <t>ML</t>
  </si>
  <si>
    <t>MLI</t>
  </si>
  <si>
    <t>マリ</t>
  </si>
  <si>
    <t>Mali</t>
  </si>
  <si>
    <t>MM</t>
  </si>
  <si>
    <t>MMR</t>
  </si>
  <si>
    <t>ミャンマー</t>
  </si>
  <si>
    <t>Myanmar</t>
  </si>
  <si>
    <t>MN</t>
  </si>
  <si>
    <t>MNG</t>
  </si>
  <si>
    <t>モンゴル</t>
  </si>
  <si>
    <t>Mongolia</t>
  </si>
  <si>
    <t>MO</t>
  </si>
  <si>
    <t>MAC</t>
  </si>
  <si>
    <t>マカオ</t>
  </si>
  <si>
    <t>Macau</t>
  </si>
  <si>
    <t>MP</t>
  </si>
  <si>
    <t>MNP</t>
  </si>
  <si>
    <t>北マリアナ諸島</t>
  </si>
  <si>
    <t>Northern Maria</t>
  </si>
  <si>
    <t>MQ</t>
  </si>
  <si>
    <t>MTQ</t>
  </si>
  <si>
    <t>マルティニーク</t>
  </si>
  <si>
    <t>Martinique</t>
  </si>
  <si>
    <t>MR</t>
  </si>
  <si>
    <t>MRT</t>
  </si>
  <si>
    <t>モーリタニア</t>
  </si>
  <si>
    <t>Mauritania</t>
  </si>
  <si>
    <t>MS</t>
  </si>
  <si>
    <t>MSR</t>
  </si>
  <si>
    <t>モントセラト</t>
  </si>
  <si>
    <t>Montserrat</t>
  </si>
  <si>
    <t>MT</t>
  </si>
  <si>
    <t>MLT</t>
  </si>
  <si>
    <t>マルタ</t>
  </si>
  <si>
    <t>Malta</t>
  </si>
  <si>
    <t>MU</t>
  </si>
  <si>
    <t>MUS</t>
  </si>
  <si>
    <t>モーリシャス</t>
  </si>
  <si>
    <t>Mauritius</t>
  </si>
  <si>
    <t>MV</t>
  </si>
  <si>
    <t>MDV</t>
  </si>
  <si>
    <t>モルディブ</t>
  </si>
  <si>
    <t>Maldives</t>
  </si>
  <si>
    <t>MW</t>
  </si>
  <si>
    <t>MWI</t>
  </si>
  <si>
    <t>マラウイ</t>
  </si>
  <si>
    <t>Malawi</t>
  </si>
  <si>
    <t>MX</t>
  </si>
  <si>
    <t>MEX</t>
  </si>
  <si>
    <t>メキシコ</t>
  </si>
  <si>
    <t>Mexico</t>
  </si>
  <si>
    <t>MY</t>
  </si>
  <si>
    <t>MYS</t>
  </si>
  <si>
    <t>マレーシア</t>
  </si>
  <si>
    <t>Malaysia</t>
  </si>
  <si>
    <t>MZ</t>
  </si>
  <si>
    <t>MOZ</t>
  </si>
  <si>
    <t>モザンビーク</t>
  </si>
  <si>
    <t>Mozambique</t>
  </si>
  <si>
    <t>NA</t>
  </si>
  <si>
    <t>NAM</t>
  </si>
  <si>
    <t>ナミビア</t>
  </si>
  <si>
    <t>Namibia</t>
  </si>
  <si>
    <t>NC</t>
  </si>
  <si>
    <t>NCL</t>
  </si>
  <si>
    <t>ニューカレドニア</t>
  </si>
  <si>
    <t>New Caledonia</t>
  </si>
  <si>
    <t>NE</t>
  </si>
  <si>
    <t>NER</t>
  </si>
  <si>
    <t>ニジェール</t>
  </si>
  <si>
    <t>Niger</t>
  </si>
  <si>
    <t>NF</t>
  </si>
  <si>
    <t>NFK</t>
  </si>
  <si>
    <t>ノーフォーク島</t>
  </si>
  <si>
    <t>Norfolk Island</t>
  </si>
  <si>
    <t>NG</t>
  </si>
  <si>
    <t>NGA</t>
  </si>
  <si>
    <t>ナイジェリア</t>
  </si>
  <si>
    <t>Nigeria</t>
  </si>
  <si>
    <t>NI</t>
  </si>
  <si>
    <t>NIC</t>
  </si>
  <si>
    <t>ニカラグア</t>
  </si>
  <si>
    <t>Nicaragua</t>
  </si>
  <si>
    <t>NL</t>
  </si>
  <si>
    <t>NLD</t>
  </si>
  <si>
    <t>オランダ</t>
  </si>
  <si>
    <t>Netherlands</t>
  </si>
  <si>
    <t>NO</t>
  </si>
  <si>
    <t>NOR</t>
  </si>
  <si>
    <t>ノルウェー</t>
  </si>
  <si>
    <t>Norway</t>
  </si>
  <si>
    <t>NP</t>
  </si>
  <si>
    <t>NPL</t>
  </si>
  <si>
    <t>ネパール</t>
  </si>
  <si>
    <t>Nepal</t>
  </si>
  <si>
    <t>NR</t>
  </si>
  <si>
    <t>NRU</t>
  </si>
  <si>
    <t>ナウル</t>
  </si>
  <si>
    <t>Nauru</t>
  </si>
  <si>
    <t>NU</t>
  </si>
  <si>
    <t>NIU</t>
  </si>
  <si>
    <t>ニウエ</t>
  </si>
  <si>
    <t>Niue</t>
  </si>
  <si>
    <t>NZ</t>
  </si>
  <si>
    <t>NZL</t>
  </si>
  <si>
    <t>ニュージーランド</t>
  </si>
  <si>
    <t>New Zealand</t>
  </si>
  <si>
    <t>OM</t>
  </si>
  <si>
    <t>OMN</t>
  </si>
  <si>
    <t>オマーン</t>
  </si>
  <si>
    <t>Oman</t>
  </si>
  <si>
    <t>PA</t>
  </si>
  <si>
    <t>PAN</t>
  </si>
  <si>
    <t>パナマ</t>
  </si>
  <si>
    <t>Panama</t>
  </si>
  <si>
    <t>PE</t>
  </si>
  <si>
    <t>PER</t>
  </si>
  <si>
    <t>ペルー</t>
  </si>
  <si>
    <t>Peru</t>
  </si>
  <si>
    <t>PF</t>
  </si>
  <si>
    <t>PYF</t>
  </si>
  <si>
    <t>フランス領ポリネシア</t>
  </si>
  <si>
    <t>French Polyne</t>
  </si>
  <si>
    <t>PG</t>
  </si>
  <si>
    <t>PNG</t>
  </si>
  <si>
    <t>パプアニューギニア</t>
  </si>
  <si>
    <t>Papua New Gu</t>
  </si>
  <si>
    <t>PH</t>
  </si>
  <si>
    <t>PHL</t>
  </si>
  <si>
    <t>フィリピン</t>
  </si>
  <si>
    <t>Philippines</t>
  </si>
  <si>
    <t>PK</t>
  </si>
  <si>
    <t>PAK</t>
  </si>
  <si>
    <t>パキスタン</t>
  </si>
  <si>
    <t>Pakistan</t>
  </si>
  <si>
    <t>PL</t>
  </si>
  <si>
    <t>POL</t>
  </si>
  <si>
    <t>ポーランド</t>
  </si>
  <si>
    <t>Poland</t>
  </si>
  <si>
    <t>東ヨ[ロッパ</t>
  </si>
  <si>
    <t>PM</t>
  </si>
  <si>
    <t>SPM</t>
  </si>
  <si>
    <t>サンピエール島・ミクロン島</t>
  </si>
  <si>
    <t>Saint Pierre an</t>
  </si>
  <si>
    <t>PN</t>
  </si>
  <si>
    <t>PCN</t>
  </si>
  <si>
    <t>ピトケアン</t>
  </si>
  <si>
    <t>Pitcairn</t>
  </si>
  <si>
    <t>PR</t>
  </si>
  <si>
    <t>PRI</t>
  </si>
  <si>
    <t>プエルトリコ</t>
  </si>
  <si>
    <t>Puerto Rico</t>
  </si>
  <si>
    <t>PS</t>
  </si>
  <si>
    <t>PSE</t>
  </si>
  <si>
    <t>パレスチナ</t>
  </si>
  <si>
    <t>Palestinian Territory, Occupied</t>
  </si>
  <si>
    <t>PT</t>
  </si>
  <si>
    <t>PRT</t>
  </si>
  <si>
    <t>ポルトガル</t>
  </si>
  <si>
    <t>Portugal</t>
  </si>
  <si>
    <t>PW</t>
  </si>
  <si>
    <t>PLW</t>
  </si>
  <si>
    <t>パラオ</t>
  </si>
  <si>
    <t>Palau</t>
  </si>
  <si>
    <t>PY</t>
  </si>
  <si>
    <t>PRY</t>
  </si>
  <si>
    <t>パラグアイ</t>
  </si>
  <si>
    <t>Paraguay</t>
  </si>
  <si>
    <t>QA</t>
  </si>
  <si>
    <t>QAT</t>
  </si>
  <si>
    <t>カタール</t>
  </si>
  <si>
    <t>Qatar</t>
  </si>
  <si>
    <t>RE</t>
  </si>
  <si>
    <t>REU</t>
  </si>
  <si>
    <t>レユニオン</t>
  </si>
  <si>
    <t>R_union</t>
  </si>
  <si>
    <t>RO</t>
  </si>
  <si>
    <t>ROU</t>
  </si>
  <si>
    <t>ルーマニア</t>
  </si>
  <si>
    <t>Romania</t>
  </si>
  <si>
    <t>RS</t>
  </si>
  <si>
    <t>SRB</t>
  </si>
  <si>
    <t>セルビア</t>
  </si>
  <si>
    <t>Serbia</t>
  </si>
  <si>
    <t>RU</t>
  </si>
  <si>
    <t>RUS</t>
  </si>
  <si>
    <t>ロシア連邦</t>
  </si>
  <si>
    <t>Russian Feder</t>
  </si>
  <si>
    <t>ロシア</t>
  </si>
  <si>
    <t>RW</t>
  </si>
  <si>
    <t>RWA</t>
  </si>
  <si>
    <t>ルワンダ</t>
  </si>
  <si>
    <t>Rwanda</t>
  </si>
  <si>
    <t>SA</t>
  </si>
  <si>
    <t>SAU</t>
  </si>
  <si>
    <t>サウジアラビア</t>
  </si>
  <si>
    <t>Saudi Arabia</t>
  </si>
  <si>
    <t>SB</t>
  </si>
  <si>
    <t>SLB</t>
  </si>
  <si>
    <t>ソロモン諸島</t>
  </si>
  <si>
    <t>Solomon Islan</t>
  </si>
  <si>
    <t>SC</t>
  </si>
  <si>
    <t>SYC</t>
  </si>
  <si>
    <t>セーシェル</t>
  </si>
  <si>
    <t>Seychelles</t>
  </si>
  <si>
    <t>SD</t>
  </si>
  <si>
    <t>SDN</t>
  </si>
  <si>
    <t>スーダン</t>
  </si>
  <si>
    <t>Sudan</t>
  </si>
  <si>
    <t>SE</t>
  </si>
  <si>
    <t>SWE</t>
  </si>
  <si>
    <t>スウェーデン</t>
  </si>
  <si>
    <t>Sweden</t>
  </si>
  <si>
    <t>SG</t>
  </si>
  <si>
    <t>SGP</t>
  </si>
  <si>
    <t>シンガポール</t>
  </si>
  <si>
    <t>Singapore</t>
  </si>
  <si>
    <t>SH</t>
  </si>
  <si>
    <t>SHN</t>
  </si>
  <si>
    <t>セントヘレナ・アセンション</t>
  </si>
  <si>
    <t>およびトリスタンダクーニャ</t>
  </si>
  <si>
    <t>Saint Helena, Ascension and Tristan da Cunha</t>
  </si>
  <si>
    <t>SI</t>
  </si>
  <si>
    <t>SVN</t>
  </si>
  <si>
    <t>スロベニア</t>
  </si>
  <si>
    <t>Slovenia</t>
  </si>
  <si>
    <t>SJ</t>
  </si>
  <si>
    <t>SJM</t>
  </si>
  <si>
    <t>スヴァールバル諸島およびヤンマイエン島</t>
  </si>
  <si>
    <t>Svalbard and J</t>
  </si>
  <si>
    <t>SK</t>
  </si>
  <si>
    <t>SVK</t>
  </si>
  <si>
    <t>スロバキア</t>
  </si>
  <si>
    <t>Slovakia</t>
  </si>
  <si>
    <t>SL</t>
  </si>
  <si>
    <t>SLE</t>
  </si>
  <si>
    <t>シエラレオネ</t>
  </si>
  <si>
    <t>Sierra Leone</t>
  </si>
  <si>
    <t>SM</t>
  </si>
  <si>
    <t>SMR</t>
  </si>
  <si>
    <t>サンマリノ</t>
  </si>
  <si>
    <t>San Marino</t>
  </si>
  <si>
    <t>SN</t>
  </si>
  <si>
    <t>SEN</t>
  </si>
  <si>
    <t>セネガル</t>
  </si>
  <si>
    <t>Senegal</t>
  </si>
  <si>
    <t>SO</t>
  </si>
  <si>
    <t>SOM</t>
  </si>
  <si>
    <t>ソマリア</t>
  </si>
  <si>
    <t>Somalia</t>
  </si>
  <si>
    <t>SR</t>
  </si>
  <si>
    <t>SUR</t>
  </si>
  <si>
    <t>スリナム</t>
  </si>
  <si>
    <t>Suriname</t>
  </si>
  <si>
    <t>SS</t>
  </si>
  <si>
    <t>SSD</t>
  </si>
  <si>
    <t>南スーダン</t>
  </si>
  <si>
    <t>South Sudan</t>
  </si>
  <si>
    <t>ST</t>
  </si>
  <si>
    <t>STP</t>
  </si>
  <si>
    <t>サントメ・プリンシペ</t>
  </si>
  <si>
    <t>Sao Tome and</t>
  </si>
  <si>
    <t>SV</t>
  </si>
  <si>
    <t>SLV</t>
  </si>
  <si>
    <t>エルサルバドル</t>
  </si>
  <si>
    <t>El Salvador</t>
  </si>
  <si>
    <t>SX</t>
  </si>
  <si>
    <t>SXM</t>
  </si>
  <si>
    <t>シント・マールテン（オランダ領）</t>
  </si>
  <si>
    <t>Sint Maarten (</t>
  </si>
  <si>
    <t>SY</t>
  </si>
  <si>
    <t>SYR</t>
  </si>
  <si>
    <t>シリア・アラブ共和国</t>
  </si>
  <si>
    <t>Syrian Arab Re</t>
  </si>
  <si>
    <t>SZ</t>
  </si>
  <si>
    <t>SWZ</t>
  </si>
  <si>
    <t>エスワティニ</t>
  </si>
  <si>
    <t>Eswatini</t>
  </si>
  <si>
    <t>TC</t>
  </si>
  <si>
    <t>TCA</t>
  </si>
  <si>
    <t>タークス・カイコス諸島</t>
  </si>
  <si>
    <t>Turks and Caic</t>
  </si>
  <si>
    <t>TD</t>
  </si>
  <si>
    <t>TCD</t>
  </si>
  <si>
    <t>チャド</t>
  </si>
  <si>
    <t>Chad</t>
  </si>
  <si>
    <t>TF</t>
  </si>
  <si>
    <t>ATF</t>
  </si>
  <si>
    <t>フランス領南方・南極地域</t>
  </si>
  <si>
    <t>French Southe</t>
  </si>
  <si>
    <t>TG</t>
  </si>
  <si>
    <t>TGO</t>
  </si>
  <si>
    <t>トーゴ</t>
  </si>
  <si>
    <t>Togo</t>
  </si>
  <si>
    <t>TH</t>
  </si>
  <si>
    <t>THA</t>
  </si>
  <si>
    <t>タイ</t>
  </si>
  <si>
    <t>Thailand</t>
  </si>
  <si>
    <t>TJ</t>
  </si>
  <si>
    <t>TJK</t>
  </si>
  <si>
    <t>タジキスタン</t>
  </si>
  <si>
    <t>Tajikistan</t>
  </si>
  <si>
    <t>TK</t>
  </si>
  <si>
    <t>TKL</t>
  </si>
  <si>
    <t>トケラウ</t>
  </si>
  <si>
    <t>Tokelau</t>
  </si>
  <si>
    <t>TL</t>
  </si>
  <si>
    <t>TLS</t>
  </si>
  <si>
    <t>東ティモール</t>
  </si>
  <si>
    <t>Timor-Leste</t>
  </si>
  <si>
    <t>TM</t>
  </si>
  <si>
    <t>TKM</t>
  </si>
  <si>
    <t>トルクメニスタン</t>
  </si>
  <si>
    <t>Turkmenistan</t>
  </si>
  <si>
    <t>TN</t>
  </si>
  <si>
    <t>TUN</t>
  </si>
  <si>
    <t>チュニジア</t>
  </si>
  <si>
    <t>Tunisia</t>
  </si>
  <si>
    <t>TO</t>
  </si>
  <si>
    <t>TON</t>
  </si>
  <si>
    <t>トンガ</t>
  </si>
  <si>
    <t>Tonga</t>
  </si>
  <si>
    <t>TR</t>
  </si>
  <si>
    <t>TUR</t>
  </si>
  <si>
    <t>トルコ</t>
  </si>
  <si>
    <t>Turkey</t>
  </si>
  <si>
    <t>TT</t>
  </si>
  <si>
    <t>TTO</t>
  </si>
  <si>
    <t>トリニダード・トバゴ</t>
  </si>
  <si>
    <t>Trinidad and T</t>
  </si>
  <si>
    <t>TV</t>
  </si>
  <si>
    <t>TUV</t>
  </si>
  <si>
    <t>ツバル</t>
  </si>
  <si>
    <t>Tuvalu</t>
  </si>
  <si>
    <t>TW</t>
  </si>
  <si>
    <t>TWN</t>
  </si>
  <si>
    <t>中国台湾省（中華民国）</t>
  </si>
  <si>
    <t>Taiwan, Province of China</t>
  </si>
  <si>
    <t>TZ</t>
  </si>
  <si>
    <t>TZA</t>
  </si>
  <si>
    <t>タンザニア</t>
  </si>
  <si>
    <t>Tanzania, United Republic of</t>
  </si>
  <si>
    <t>UA</t>
  </si>
  <si>
    <t>UKR</t>
  </si>
  <si>
    <t>ウクライナ</t>
  </si>
  <si>
    <t>Ukraine</t>
  </si>
  <si>
    <t>UG</t>
  </si>
  <si>
    <t>UGA</t>
  </si>
  <si>
    <t>ウガンダ</t>
  </si>
  <si>
    <t>Uganda</t>
  </si>
  <si>
    <t>UM</t>
  </si>
  <si>
    <t>UMI</t>
  </si>
  <si>
    <t>合衆国領有小離島</t>
  </si>
  <si>
    <t>United States Minor Outlying Islands</t>
  </si>
  <si>
    <t>US</t>
  </si>
  <si>
    <t>USA</t>
  </si>
  <si>
    <t>アメリカ合衆国</t>
  </si>
  <si>
    <t>United States</t>
  </si>
  <si>
    <t>UY</t>
  </si>
  <si>
    <t>URY</t>
  </si>
  <si>
    <t>ウルグアイ</t>
  </si>
  <si>
    <t>Uruguay</t>
  </si>
  <si>
    <t>UZ</t>
  </si>
  <si>
    <t>UZB</t>
  </si>
  <si>
    <t>ウズベキスタン</t>
  </si>
  <si>
    <t>Uzbekistan</t>
  </si>
  <si>
    <t>VA</t>
  </si>
  <si>
    <t>VAT</t>
  </si>
  <si>
    <t>バチカン市国</t>
  </si>
  <si>
    <t>Holy See (Vatican City State)</t>
  </si>
  <si>
    <t>VC</t>
  </si>
  <si>
    <t>VCT</t>
  </si>
  <si>
    <t>セントビンセントおよび</t>
  </si>
  <si>
    <t>グレナディーン諸島</t>
  </si>
  <si>
    <t>Saint Vincent and the Grenadines</t>
  </si>
  <si>
    <t>VE</t>
  </si>
  <si>
    <t>VEN</t>
  </si>
  <si>
    <t>ベネズエラ・ボリバル共和国</t>
  </si>
  <si>
    <t>Venezuela, Bolivarian Republic of</t>
  </si>
  <si>
    <t>VG</t>
  </si>
  <si>
    <t>VGB</t>
  </si>
  <si>
    <t>イギリス領ヴァージン諸島</t>
  </si>
  <si>
    <t>Virgin Islands, British</t>
  </si>
  <si>
    <t>VI</t>
  </si>
  <si>
    <t>VIR</t>
  </si>
  <si>
    <t>アメリカ領ヴァージン諸島</t>
  </si>
  <si>
    <t>Virgin Islands, U.S.</t>
  </si>
  <si>
    <t>VN</t>
  </si>
  <si>
    <t>VNM</t>
  </si>
  <si>
    <t>ベトナム</t>
  </si>
  <si>
    <t>Viet Nam</t>
  </si>
  <si>
    <t>VU</t>
  </si>
  <si>
    <t>VUT</t>
  </si>
  <si>
    <t>バヌアツ</t>
  </si>
  <si>
    <t>Vanuatu</t>
  </si>
  <si>
    <t>WF</t>
  </si>
  <si>
    <t>WLF</t>
  </si>
  <si>
    <t>ウォリス・フツナ</t>
  </si>
  <si>
    <t>Wallis and Fut</t>
  </si>
  <si>
    <t>WS</t>
  </si>
  <si>
    <t>WSM</t>
  </si>
  <si>
    <t>サモア</t>
  </si>
  <si>
    <t>Samoa</t>
  </si>
  <si>
    <t>YE</t>
  </si>
  <si>
    <t>YEM</t>
  </si>
  <si>
    <t>イエメン</t>
  </si>
  <si>
    <t>Yemen</t>
  </si>
  <si>
    <t>YT</t>
  </si>
  <si>
    <t>MYT</t>
  </si>
  <si>
    <t>マヨット</t>
  </si>
  <si>
    <t>Mayotte</t>
  </si>
  <si>
    <t>ZA</t>
  </si>
  <si>
    <t>ZAF</t>
  </si>
  <si>
    <t>South Africa</t>
  </si>
  <si>
    <t>ZM</t>
  </si>
  <si>
    <t>ZMB</t>
  </si>
  <si>
    <t>ザンビア</t>
  </si>
  <si>
    <t>Zambia</t>
  </si>
  <si>
    <t>ZW</t>
  </si>
  <si>
    <t>ZWE</t>
  </si>
  <si>
    <t>ジンバブエ</t>
  </si>
  <si>
    <t>Zimbabwe</t>
  </si>
  <si>
    <t>シートをご確認</t>
    <rPh sb="5" eb="7">
      <t>カクニン</t>
    </rPh>
    <phoneticPr fontId="24"/>
  </si>
  <si>
    <t>企業コード</t>
    <rPh sb="0" eb="2">
      <t>キギョウ</t>
    </rPh>
    <phoneticPr fontId="24"/>
  </si>
  <si>
    <t>主キー１</t>
    <rPh sb="0" eb="1">
      <t>シュ</t>
    </rPh>
    <phoneticPr fontId="24"/>
  </si>
  <si>
    <t>主キー２</t>
    <rPh sb="0" eb="1">
      <t>シュ</t>
    </rPh>
    <phoneticPr fontId="24"/>
  </si>
  <si>
    <t>原産国</t>
    <rPh sb="0" eb="2">
      <t>ゲンサン</t>
    </rPh>
    <rPh sb="2" eb="3">
      <t>コク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</si>
</sst>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-* #,##0_-;\-* #,##0_-;_-* &quot;-&quot;_-;_-@_-"/>
    <numFmt numFmtId="178" formatCode="_-* #,##0.00_-;\-* #,##0.00_-;_-* &quot;-&quot;??_-;_-@_-"/>
    <numFmt numFmtId="179" formatCode="_([$€]* #,##0.00_);_([$€]* \(#,##0.00\);_([$€]* &quot;-&quot;??_);_(@_)"/>
    <numFmt numFmtId="180" formatCode="#,##0;\-#,##0;&quot;-&quot;"/>
    <numFmt numFmtId="181" formatCode="_ &quot;$&quot;\ * #,##0_ ;_ &quot;$&quot;\ * \-#,##0_ ;_ &quot;$&quot;\ * &quot;-&quot;_ ;_ @_ "/>
    <numFmt numFmtId="182" formatCode="&quot;$&quot;#,##0_);\(&quot;$&quot;#,##0\)"/>
    <numFmt numFmtId="183" formatCode="_-&quot;$&quot;* #,##0.00_-;\-&quot;$&quot;* #,##0.00_-;_-&quot;$&quot;* &quot;-&quot;??_-;_-@_-"/>
    <numFmt numFmtId="184" formatCode="&quot;$&quot;#,##0_);[Red]\(&quot;$&quot;#,##0\)"/>
    <numFmt numFmtId="185" formatCode="&quot;$&quot;#,##0.00_);[Red]\(&quot;$&quot;#,##0.00\)"/>
    <numFmt numFmtId="186" formatCode="0.0000000000"/>
    <numFmt numFmtId="187" formatCode="0_);[Red]\(0\)"/>
  </numFmts>
  <fonts count="14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8.5"/>
      <name val="MS Sans Serif"/>
      <family val="2"/>
    </font>
    <font>
      <sz val="11"/>
      <name val="?? ?????"/>
      <family val="3"/>
    </font>
    <font>
      <sz val="10"/>
      <color indexed="8"/>
      <name val="Arial"/>
      <family val="2"/>
    </font>
    <font>
      <sz val="11"/>
      <color indexed="8"/>
      <name val="MS PGothic"/>
      <family val="3"/>
      <charset val="128"/>
    </font>
    <font>
      <sz val="10"/>
      <color indexed="9"/>
      <name val="Arial"/>
      <family val="2"/>
    </font>
    <font>
      <sz val="11"/>
      <color indexed="9"/>
      <name val="MS PGothic"/>
      <family val="3"/>
      <charset val="128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name val="Geneva"/>
      <family val="2"/>
    </font>
    <font>
      <sz val="10"/>
      <name val="Geneva"/>
      <family val="2"/>
    </font>
    <font>
      <b/>
      <sz val="11"/>
      <color indexed="8"/>
      <name val="Calibri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18"/>
      <color indexed="62"/>
      <name val="Cambria"/>
      <family val="1"/>
    </font>
    <font>
      <b/>
      <sz val="11"/>
      <name val="Helv"/>
      <family val="2"/>
    </font>
    <font>
      <sz val="11"/>
      <color indexed="10"/>
      <name val="Calibri"/>
      <family val="2"/>
    </font>
    <font>
      <b/>
      <sz val="12"/>
      <color indexed="45"/>
      <name val="Arial"/>
      <family val="2"/>
    </font>
    <font>
      <sz val="12"/>
      <name val="ｹﾙﾅﾁﾃｼ"/>
      <family val="1"/>
      <charset val="128"/>
    </font>
    <font>
      <sz val="10"/>
      <name val="Helv"/>
      <family val="2"/>
    </font>
    <font>
      <b/>
      <sz val="11"/>
      <color indexed="9"/>
      <name val="MS PGothic"/>
      <family val="3"/>
      <charset val="128"/>
    </font>
    <font>
      <sz val="11"/>
      <name val="ｵｸｿ "/>
      <family val="3"/>
      <charset val="128"/>
    </font>
    <font>
      <sz val="11"/>
      <color indexed="60"/>
      <name val="MS PGothic"/>
      <family val="3"/>
      <charset val="128"/>
    </font>
    <font>
      <sz val="11"/>
      <name val="明朝"/>
      <family val="3"/>
      <charset val="128"/>
    </font>
    <font>
      <u/>
      <sz val="10"/>
      <color indexed="12"/>
      <name val="Arial"/>
      <family val="2"/>
    </font>
    <font>
      <sz val="11"/>
      <color indexed="52"/>
      <name val="MS PGothic"/>
      <family val="3"/>
      <charset val="128"/>
    </font>
    <font>
      <sz val="11"/>
      <color indexed="20"/>
      <name val="MS PGothic"/>
      <family val="3"/>
      <charset val="128"/>
    </font>
    <font>
      <b/>
      <sz val="11"/>
      <color indexed="52"/>
      <name val="MS PGothic"/>
      <family val="3"/>
      <charset val="128"/>
    </font>
    <font>
      <sz val="11"/>
      <color indexed="10"/>
      <name val="MS PGothic"/>
      <family val="3"/>
      <charset val="128"/>
    </font>
    <font>
      <b/>
      <sz val="15"/>
      <color indexed="56"/>
      <name val="MS PGothic"/>
      <family val="3"/>
      <charset val="128"/>
    </font>
    <font>
      <b/>
      <sz val="13"/>
      <color indexed="56"/>
      <name val="MS PGothic"/>
      <family val="3"/>
      <charset val="128"/>
    </font>
    <font>
      <b/>
      <sz val="11"/>
      <color indexed="56"/>
      <name val="MS PGothic"/>
      <family val="3"/>
      <charset val="128"/>
    </font>
    <font>
      <b/>
      <sz val="11"/>
      <color indexed="8"/>
      <name val="MS PGothic"/>
      <family val="3"/>
      <charset val="128"/>
    </font>
    <font>
      <b/>
      <sz val="11"/>
      <color indexed="63"/>
      <name val="MS PGothic"/>
      <family val="3"/>
      <charset val="128"/>
    </font>
    <font>
      <i/>
      <sz val="11"/>
      <color indexed="23"/>
      <name val="MS PGothic"/>
      <family val="3"/>
      <charset val="128"/>
    </font>
    <font>
      <sz val="11"/>
      <color indexed="62"/>
      <name val="MS PGothic"/>
      <family val="3"/>
      <charset val="128"/>
    </font>
    <font>
      <sz val="9"/>
      <name val="ＭＳ Ｐゴシック"/>
      <family val="3"/>
      <charset val="128"/>
    </font>
    <font>
      <sz val="11"/>
      <color indexed="1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MS PGothic"/>
      <family val="3"/>
      <charset val="128"/>
    </font>
    <font>
      <sz val="9"/>
      <color indexed="8"/>
      <name val="Arial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1"/>
    </font>
    <font>
      <sz val="12"/>
      <name val="宋体"/>
      <family val="3"/>
      <charset val="128"/>
    </font>
    <font>
      <sz val="12"/>
      <name val="新細明體"/>
      <family val="1"/>
      <charset val="136"/>
    </font>
    <font>
      <sz val="12"/>
      <name val="宋体"/>
      <charset val="128"/>
    </font>
    <font>
      <sz val="12"/>
      <name val="宋体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Century Gothic"/>
      <family val="2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sz val="11"/>
      <color theme="1"/>
      <name val="宋体"/>
      <charset val="128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rgb="FF333333"/>
      <name val="ＭＳ 明朝"/>
      <family val="1"/>
      <charset val="128"/>
    </font>
    <font>
      <sz val="12"/>
      <color rgb="FF333333"/>
      <name val="ＭＳ 明朝"/>
      <family val="1"/>
      <charset val="128"/>
    </font>
    <font>
      <b/>
      <sz val="12"/>
      <name val="ＭＳ 明朝"/>
      <family val="1"/>
      <charset val="128"/>
    </font>
    <font>
      <sz val="11"/>
      <name val="Arial"/>
      <family val="2"/>
    </font>
    <font>
      <b/>
      <sz val="12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2"/>
      <name val="Meiryo UI"/>
      <family val="3"/>
      <charset val="128"/>
    </font>
    <font>
      <sz val="8"/>
      <color rgb="FF000000"/>
      <name val="メイリオ"/>
      <family val="3"/>
      <charset val="128"/>
    </font>
    <font>
      <b/>
      <sz val="8"/>
      <color rgb="FF000000"/>
      <name val="メイリオ"/>
      <family val="3"/>
      <charset val="128"/>
    </font>
    <font>
      <i/>
      <sz val="8.8000000000000007"/>
      <color rgb="FF000000"/>
      <name val="メイリオ"/>
      <family val="3"/>
      <charset val="128"/>
    </font>
    <font>
      <sz val="8.8000000000000007"/>
      <color rgb="FF000000"/>
      <name val="メイリオ"/>
      <family val="3"/>
      <charset val="128"/>
    </font>
    <font>
      <b/>
      <sz val="11"/>
      <name val="ＭＳ Ｐゴシック"/>
      <family val="3"/>
      <charset val="128"/>
    </font>
    <font>
      <b/>
      <sz val="11"/>
      <name val="メイリオ"/>
      <family val="3"/>
      <charset val="128"/>
    </font>
  </fonts>
  <fills count="113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darkGray">
        <fgColor indexed="9"/>
        <bgColor indexed="13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0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27"/>
        <bgColor indexed="27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B92CD"/>
        <bgColor indexed="64"/>
      </patternFill>
    </fill>
  </fills>
  <borders count="9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E5E5E5"/>
      </left>
      <right style="medium">
        <color rgb="FFFFFFFF"/>
      </right>
      <top style="medium">
        <color rgb="FFE5E5E5"/>
      </top>
      <bottom/>
      <diagonal/>
    </border>
    <border>
      <left style="medium">
        <color rgb="FFE5E5E5"/>
      </left>
      <right style="medium">
        <color rgb="FFFFFFFF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E5E5E5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E5E5E5"/>
      </bottom>
      <diagonal/>
    </border>
    <border>
      <left style="medium">
        <color rgb="FFFFFFFF"/>
      </left>
      <right style="medium">
        <color rgb="FFE5E5E5"/>
      </right>
      <top style="medium">
        <color rgb="FFE5E5E5"/>
      </top>
      <bottom/>
      <diagonal/>
    </border>
    <border>
      <left style="medium">
        <color rgb="FFFFFFFF"/>
      </left>
      <right style="medium">
        <color rgb="FFE5E5E5"/>
      </right>
      <top/>
      <bottom style="medium">
        <color rgb="FFE5E5E5"/>
      </bottom>
      <diagonal/>
    </border>
    <border>
      <left style="medium">
        <color rgb="FFCCCCCC"/>
      </left>
      <right style="medium">
        <color rgb="FFCCCCCC"/>
      </right>
      <top style="medium">
        <color rgb="FFE5E5E5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CCCCCC"/>
      </right>
      <top style="medium">
        <color rgb="FFE5E5E5"/>
      </top>
      <bottom/>
      <diagonal/>
    </border>
    <border>
      <left style="medium">
        <color rgb="FFFFFFFF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17">
    <xf numFmtId="0" fontId="0" fillId="0" borderId="0"/>
    <xf numFmtId="43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9" fontId="27" fillId="0" borderId="0"/>
    <xf numFmtId="179" fontId="30" fillId="2" borderId="0" applyNumberFormat="0" applyBorder="0" applyAlignment="0" applyProtection="0"/>
    <xf numFmtId="0" fontId="35" fillId="3" borderId="0" applyNumberFormat="0" applyBorder="0" applyAlignment="0" applyProtection="0"/>
    <xf numFmtId="179" fontId="30" fillId="4" borderId="0" applyNumberFormat="0" applyBorder="0" applyAlignment="0" applyProtection="0"/>
    <xf numFmtId="0" fontId="35" fillId="5" borderId="0" applyNumberFormat="0" applyBorder="0" applyAlignment="0" applyProtection="0"/>
    <xf numFmtId="179" fontId="30" fillId="6" borderId="0" applyNumberFormat="0" applyBorder="0" applyAlignment="0" applyProtection="0"/>
    <xf numFmtId="0" fontId="35" fillId="7" borderId="0" applyNumberFormat="0" applyBorder="0" applyAlignment="0" applyProtection="0"/>
    <xf numFmtId="179" fontId="30" fillId="8" borderId="0" applyNumberFormat="0" applyBorder="0" applyAlignment="0" applyProtection="0"/>
    <xf numFmtId="0" fontId="35" fillId="9" borderId="0" applyNumberFormat="0" applyBorder="0" applyAlignment="0" applyProtection="0"/>
    <xf numFmtId="179" fontId="30" fillId="10" borderId="0" applyNumberFormat="0" applyBorder="0" applyAlignment="0" applyProtection="0"/>
    <xf numFmtId="0" fontId="35" fillId="11" borderId="0" applyNumberFormat="0" applyBorder="0" applyAlignment="0" applyProtection="0"/>
    <xf numFmtId="179" fontId="30" fillId="5" borderId="0" applyNumberFormat="0" applyBorder="0" applyAlignment="0" applyProtection="0"/>
    <xf numFmtId="0" fontId="35" fillId="12" borderId="0" applyNumberFormat="0" applyBorder="0" applyAlignment="0" applyProtection="0"/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179" fontId="31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7" fillId="3" borderId="0" applyNumberFormat="0" applyBorder="0" applyAlignment="0" applyProtection="0">
      <alignment vertical="center"/>
    </xf>
    <xf numFmtId="0" fontId="106" fillId="7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79" fontId="31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9" fontId="7" fillId="5" borderId="0" applyNumberFormat="0" applyBorder="0" applyAlignment="0" applyProtection="0">
      <alignment vertical="center"/>
    </xf>
    <xf numFmtId="0" fontId="106" fillId="7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9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9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9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179" fontId="31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9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9" fontId="7" fillId="7" borderId="0" applyNumberFormat="0" applyBorder="0" applyAlignment="0" applyProtection="0">
      <alignment vertical="center"/>
    </xf>
    <xf numFmtId="0" fontId="106" fillId="7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9" fontId="31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106" fillId="7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9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9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9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9" fontId="31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9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79" fontId="7" fillId="11" borderId="0" applyNumberFormat="0" applyBorder="0" applyAlignment="0" applyProtection="0">
      <alignment vertical="center"/>
    </xf>
    <xf numFmtId="0" fontId="106" fillId="8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9" fontId="31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79" fontId="7" fillId="12" borderId="0" applyNumberFormat="0" applyBorder="0" applyAlignment="0" applyProtection="0">
      <alignment vertical="center"/>
    </xf>
    <xf numFmtId="0" fontId="106" fillId="81" borderId="0" applyNumberFormat="0" applyBorder="0" applyAlignment="0" applyProtection="0">
      <alignment vertical="center"/>
    </xf>
    <xf numFmtId="179" fontId="30" fillId="13" borderId="0" applyNumberFormat="0" applyBorder="0" applyAlignment="0" applyProtection="0"/>
    <xf numFmtId="0" fontId="35" fillId="10" borderId="0" applyNumberFormat="0" applyBorder="0" applyAlignment="0" applyProtection="0"/>
    <xf numFmtId="179" fontId="30" fillId="4" borderId="0" applyNumberFormat="0" applyBorder="0" applyAlignment="0" applyProtection="0"/>
    <xf numFmtId="0" fontId="35" fillId="4" borderId="0" applyNumberFormat="0" applyBorder="0" applyAlignment="0" applyProtection="0"/>
    <xf numFmtId="179" fontId="30" fillId="14" borderId="0" applyNumberFormat="0" applyBorder="0" applyAlignment="0" applyProtection="0"/>
    <xf numFmtId="0" fontId="35" fillId="15" borderId="0" applyNumberFormat="0" applyBorder="0" applyAlignment="0" applyProtection="0"/>
    <xf numFmtId="179" fontId="30" fillId="16" borderId="0" applyNumberFormat="0" applyBorder="0" applyAlignment="0" applyProtection="0"/>
    <xf numFmtId="0" fontId="35" fillId="9" borderId="0" applyNumberFormat="0" applyBorder="0" applyAlignment="0" applyProtection="0"/>
    <xf numFmtId="179" fontId="30" fillId="13" borderId="0" applyNumberFormat="0" applyBorder="0" applyAlignment="0" applyProtection="0"/>
    <xf numFmtId="0" fontId="35" fillId="10" borderId="0" applyNumberFormat="0" applyBorder="0" applyAlignment="0" applyProtection="0"/>
    <xf numFmtId="179" fontId="30" fillId="12" borderId="0" applyNumberFormat="0" applyBorder="0" applyAlignment="0" applyProtection="0"/>
    <xf numFmtId="0" fontId="35" fillId="17" borderId="0" applyNumberFormat="0" applyBorder="0" applyAlignment="0" applyProtection="0"/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9" fontId="31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106" fillId="8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9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9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9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179" fontId="31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9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9" fontId="7" fillId="4" borderId="0" applyNumberFormat="0" applyBorder="0" applyAlignment="0" applyProtection="0">
      <alignment vertical="center"/>
    </xf>
    <xf numFmtId="0" fontId="106" fillId="8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9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9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9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9" fontId="31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9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79" fontId="7" fillId="15" borderId="0" applyNumberFormat="0" applyBorder="0" applyAlignment="0" applyProtection="0">
      <alignment vertical="center"/>
    </xf>
    <xf numFmtId="0" fontId="106" fillId="8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9" fontId="31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7" fillId="9" borderId="0" applyNumberFormat="0" applyBorder="0" applyAlignment="0" applyProtection="0">
      <alignment vertical="center"/>
    </xf>
    <xf numFmtId="0" fontId="106" fillId="8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9" fontId="31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7" fillId="10" borderId="0" applyNumberFormat="0" applyBorder="0" applyAlignment="0" applyProtection="0">
      <alignment vertical="center"/>
    </xf>
    <xf numFmtId="0" fontId="106" fillId="8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9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9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9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9" fontId="31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9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79" fontId="7" fillId="17" borderId="0" applyNumberFormat="0" applyBorder="0" applyAlignment="0" applyProtection="0">
      <alignment vertical="center"/>
    </xf>
    <xf numFmtId="0" fontId="106" fillId="87" borderId="0" applyNumberFormat="0" applyBorder="0" applyAlignment="0" applyProtection="0">
      <alignment vertical="center"/>
    </xf>
    <xf numFmtId="179" fontId="32" fillId="13" borderId="0" applyNumberFormat="0" applyBorder="0" applyAlignment="0" applyProtection="0"/>
    <xf numFmtId="0" fontId="34" fillId="18" borderId="0" applyNumberFormat="0" applyBorder="0" applyAlignment="0" applyProtection="0"/>
    <xf numFmtId="179" fontId="32" fillId="4" borderId="0" applyNumberFormat="0" applyBorder="0" applyAlignment="0" applyProtection="0"/>
    <xf numFmtId="0" fontId="34" fillId="4" borderId="0" applyNumberFormat="0" applyBorder="0" applyAlignment="0" applyProtection="0"/>
    <xf numFmtId="179" fontId="32" fillId="14" borderId="0" applyNumberFormat="0" applyBorder="0" applyAlignment="0" applyProtection="0"/>
    <xf numFmtId="0" fontId="34" fillId="15" borderId="0" applyNumberFormat="0" applyBorder="0" applyAlignment="0" applyProtection="0"/>
    <xf numFmtId="179" fontId="32" fillId="16" borderId="0" applyNumberFormat="0" applyBorder="0" applyAlignment="0" applyProtection="0"/>
    <xf numFmtId="0" fontId="34" fillId="19" borderId="0" applyNumberFormat="0" applyBorder="0" applyAlignment="0" applyProtection="0"/>
    <xf numFmtId="179" fontId="32" fillId="13" borderId="0" applyNumberFormat="0" applyBorder="0" applyAlignment="0" applyProtection="0"/>
    <xf numFmtId="0" fontId="34" fillId="20" borderId="0" applyNumberFormat="0" applyBorder="0" applyAlignment="0" applyProtection="0"/>
    <xf numFmtId="179" fontId="32" fillId="12" borderId="0" applyNumberFormat="0" applyBorder="0" applyAlignment="0" applyProtection="0"/>
    <xf numFmtId="0" fontId="34" fillId="21" borderId="0" applyNumberFormat="0" applyBorder="0" applyAlignment="0" applyProtection="0"/>
    <xf numFmtId="0" fontId="8" fillId="18" borderId="0" applyNumberFormat="0" applyBorder="0" applyAlignment="0" applyProtection="0">
      <alignment vertical="center"/>
    </xf>
    <xf numFmtId="179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9" fontId="8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9" fontId="33" fillId="18" borderId="0" applyNumberFormat="0" applyBorder="0" applyAlignment="0" applyProtection="0">
      <alignment vertical="center"/>
    </xf>
    <xf numFmtId="179" fontId="8" fillId="18" borderId="0" applyNumberFormat="0" applyBorder="0" applyAlignment="0" applyProtection="0">
      <alignment vertical="center"/>
    </xf>
    <xf numFmtId="0" fontId="107" fillId="8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179" fontId="33" fillId="4" borderId="0" applyNumberFormat="0" applyBorder="0" applyAlignment="0" applyProtection="0">
      <alignment vertical="center"/>
    </xf>
    <xf numFmtId="179" fontId="8" fillId="4" borderId="0" applyNumberFormat="0" applyBorder="0" applyAlignment="0" applyProtection="0">
      <alignment vertical="center"/>
    </xf>
    <xf numFmtId="0" fontId="107" fillId="8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9" fontId="8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33" fillId="15" borderId="0" applyNumberFormat="0" applyBorder="0" applyAlignment="0" applyProtection="0">
      <alignment vertical="center"/>
    </xf>
    <xf numFmtId="179" fontId="8" fillId="15" borderId="0" applyNumberFormat="0" applyBorder="0" applyAlignment="0" applyProtection="0">
      <alignment vertical="center"/>
    </xf>
    <xf numFmtId="0" fontId="107" fillId="9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8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9" fontId="33" fillId="19" borderId="0" applyNumberFormat="0" applyBorder="0" applyAlignment="0" applyProtection="0">
      <alignment vertical="center"/>
    </xf>
    <xf numFmtId="179" fontId="8" fillId="19" borderId="0" applyNumberFormat="0" applyBorder="0" applyAlignment="0" applyProtection="0">
      <alignment vertical="center"/>
    </xf>
    <xf numFmtId="0" fontId="107" fillId="9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9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9" fontId="8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9" fontId="33" fillId="20" borderId="0" applyNumberFormat="0" applyBorder="0" applyAlignment="0" applyProtection="0">
      <alignment vertical="center"/>
    </xf>
    <xf numFmtId="179" fontId="8" fillId="20" borderId="0" applyNumberFormat="0" applyBorder="0" applyAlignment="0" applyProtection="0">
      <alignment vertical="center"/>
    </xf>
    <xf numFmtId="0" fontId="107" fillId="9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8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79" fontId="33" fillId="21" borderId="0" applyNumberFormat="0" applyBorder="0" applyAlignment="0" applyProtection="0">
      <alignment vertical="center"/>
    </xf>
    <xf numFmtId="179" fontId="8" fillId="21" borderId="0" applyNumberFormat="0" applyBorder="0" applyAlignment="0" applyProtection="0">
      <alignment vertical="center"/>
    </xf>
    <xf numFmtId="0" fontId="107" fillId="93" borderId="0" applyNumberFormat="0" applyBorder="0" applyAlignment="0" applyProtection="0">
      <alignment vertical="center"/>
    </xf>
    <xf numFmtId="179" fontId="34" fillId="22" borderId="0" applyNumberFormat="0" applyBorder="0" applyAlignment="0" applyProtection="0"/>
    <xf numFmtId="179" fontId="35" fillId="23" borderId="0" applyNumberFormat="0" applyBorder="0" applyAlignment="0" applyProtection="0"/>
    <xf numFmtId="179" fontId="35" fillId="24" borderId="0" applyNumberFormat="0" applyBorder="0" applyAlignment="0" applyProtection="0"/>
    <xf numFmtId="179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179" fontId="34" fillId="26" borderId="0" applyNumberFormat="0" applyBorder="0" applyAlignment="0" applyProtection="0"/>
    <xf numFmtId="179" fontId="34" fillId="27" borderId="0" applyNumberFormat="0" applyBorder="0" applyAlignment="0" applyProtection="0"/>
    <xf numFmtId="179" fontId="35" fillId="28" borderId="0" applyNumberFormat="0" applyBorder="0" applyAlignment="0" applyProtection="0"/>
    <xf numFmtId="179" fontId="35" fillId="29" borderId="0" applyNumberFormat="0" applyBorder="0" applyAlignment="0" applyProtection="0"/>
    <xf numFmtId="179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179" fontId="34" fillId="31" borderId="0" applyNumberFormat="0" applyBorder="0" applyAlignment="0" applyProtection="0"/>
    <xf numFmtId="179" fontId="34" fillId="30" borderId="0" applyNumberFormat="0" applyBorder="0" applyAlignment="0" applyProtection="0"/>
    <xf numFmtId="179" fontId="35" fillId="32" borderId="0" applyNumberFormat="0" applyBorder="0" applyAlignment="0" applyProtection="0"/>
    <xf numFmtId="179" fontId="35" fillId="33" borderId="0" applyNumberFormat="0" applyBorder="0" applyAlignment="0" applyProtection="0"/>
    <xf numFmtId="179" fontId="34" fillId="3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179" fontId="34" fillId="14" borderId="0" applyNumberFormat="0" applyBorder="0" applyAlignment="0" applyProtection="0"/>
    <xf numFmtId="179" fontId="34" fillId="35" borderId="0" applyNumberFormat="0" applyBorder="0" applyAlignment="0" applyProtection="0"/>
    <xf numFmtId="179" fontId="35" fillId="33" borderId="0" applyNumberFormat="0" applyBorder="0" applyAlignment="0" applyProtection="0"/>
    <xf numFmtId="179" fontId="35" fillId="34" borderId="0" applyNumberFormat="0" applyBorder="0" applyAlignment="0" applyProtection="0"/>
    <xf numFmtId="179" fontId="34" fillId="3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179" fontId="34" fillId="19" borderId="0" applyNumberFormat="0" applyBorder="0" applyAlignment="0" applyProtection="0"/>
    <xf numFmtId="179" fontId="34" fillId="36" borderId="0" applyNumberFormat="0" applyBorder="0" applyAlignment="0" applyProtection="0"/>
    <xf numFmtId="179" fontId="35" fillId="23" borderId="0" applyNumberFormat="0" applyBorder="0" applyAlignment="0" applyProtection="0"/>
    <xf numFmtId="179" fontId="35" fillId="24" borderId="0" applyNumberFormat="0" applyBorder="0" applyAlignment="0" applyProtection="0"/>
    <xf numFmtId="179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179" fontId="34" fillId="20" borderId="0" applyNumberFormat="0" applyBorder="0" applyAlignment="0" applyProtection="0"/>
    <xf numFmtId="179" fontId="34" fillId="37" borderId="0" applyNumberFormat="0" applyBorder="0" applyAlignment="0" applyProtection="0"/>
    <xf numFmtId="179" fontId="35" fillId="38" borderId="0" applyNumberFormat="0" applyBorder="0" applyAlignment="0" applyProtection="0"/>
    <xf numFmtId="179" fontId="35" fillId="29" borderId="0" applyNumberFormat="0" applyBorder="0" applyAlignment="0" applyProtection="0"/>
    <xf numFmtId="179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179" fontId="34" fillId="40" borderId="0" applyNumberFormat="0" applyBorder="0" applyAlignment="0" applyProtection="0"/>
    <xf numFmtId="179" fontId="36" fillId="0" borderId="0" applyNumberFormat="0" applyAlignment="0"/>
    <xf numFmtId="3" fontId="36" fillId="41" borderId="0" applyNumberFormat="0" applyFont="0" applyBorder="0" applyAlignment="0">
      <protection locked="0"/>
    </xf>
    <xf numFmtId="43" fontId="27" fillId="0" borderId="0" applyFont="0" applyFill="0" applyBorder="0" applyAlignment="0" applyProtection="0"/>
    <xf numFmtId="3" fontId="36" fillId="41" borderId="0" applyNumberFormat="0" applyFont="0" applyBorder="0" applyAlignment="0">
      <protection locked="0"/>
    </xf>
    <xf numFmtId="179" fontId="37" fillId="29" borderId="0" applyNumberFormat="0" applyBorder="0" applyAlignment="0" applyProtection="0"/>
    <xf numFmtId="0" fontId="94" fillId="5" borderId="0" applyNumberFormat="0" applyBorder="0" applyAlignment="0" applyProtection="0"/>
    <xf numFmtId="180" fontId="30" fillId="0" borderId="0" applyFill="0" applyBorder="0" applyAlignment="0"/>
    <xf numFmtId="179" fontId="38" fillId="42" borderId="1" applyNumberFormat="0" applyAlignment="0" applyProtection="0"/>
    <xf numFmtId="0" fontId="95" fillId="16" borderId="1" applyNumberFormat="0" applyAlignment="0" applyProtection="0"/>
    <xf numFmtId="179" fontId="39" fillId="30" borderId="2" applyNumberFormat="0" applyAlignment="0" applyProtection="0"/>
    <xf numFmtId="0" fontId="39" fillId="43" borderId="2" applyNumberFormat="0" applyAlignment="0" applyProtection="0"/>
    <xf numFmtId="179" fontId="24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40" fillId="0" borderId="0"/>
    <xf numFmtId="179" fontId="40" fillId="0" borderId="0">
      <alignment horizontal="center"/>
    </xf>
    <xf numFmtId="179" fontId="41" fillId="0" borderId="0"/>
    <xf numFmtId="181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43" fillId="0" borderId="0" applyFont="0" applyFill="0" applyBorder="0" applyAlignment="0" applyProtection="0"/>
    <xf numFmtId="183" fontId="27" fillId="0" borderId="0" applyFont="0" applyFill="0" applyBorder="0" applyAlignment="0" applyProtection="0"/>
    <xf numFmtId="3" fontId="36" fillId="41" borderId="0" applyNumberFormat="0" applyFont="0" applyBorder="0" applyAlignment="0">
      <protection locked="0"/>
    </xf>
    <xf numFmtId="179" fontId="44" fillId="44" borderId="0" applyNumberFormat="0" applyBorder="0" applyAlignment="0" applyProtection="0"/>
    <xf numFmtId="179" fontId="44" fillId="45" borderId="0" applyNumberFormat="0" applyBorder="0" applyAlignment="0" applyProtection="0"/>
    <xf numFmtId="179" fontId="44" fillId="46" borderId="0" applyNumberFormat="0" applyBorder="0" applyAlignment="0" applyProtection="0"/>
    <xf numFmtId="179" fontId="45" fillId="0" borderId="0">
      <alignment horizontal="left"/>
    </xf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4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3" fontId="36" fillId="41" borderId="0" applyNumberFormat="0" applyFont="0" applyBorder="0" applyAlignment="0">
      <protection locked="0"/>
    </xf>
    <xf numFmtId="179" fontId="47" fillId="47" borderId="0" applyNumberFormat="0" applyBorder="0" applyAlignment="0" applyProtection="0"/>
    <xf numFmtId="0" fontId="47" fillId="7" borderId="0" applyNumberFormat="0" applyBorder="0" applyAlignment="0" applyProtection="0"/>
    <xf numFmtId="38" fontId="36" fillId="48" borderId="0" applyNumberFormat="0" applyBorder="0" applyAlignment="0" applyProtection="0"/>
    <xf numFmtId="179" fontId="48" fillId="0" borderId="3" applyNumberFormat="0" applyAlignment="0" applyProtection="0">
      <alignment horizontal="left" vertical="center"/>
    </xf>
    <xf numFmtId="0" fontId="48" fillId="0" borderId="3" applyNumberFormat="0" applyAlignment="0" applyProtection="0">
      <alignment horizontal="left" vertical="center"/>
    </xf>
    <xf numFmtId="179" fontId="48" fillId="0" borderId="4">
      <alignment horizontal="left" vertical="center"/>
    </xf>
    <xf numFmtId="0" fontId="48" fillId="0" borderId="4">
      <alignment horizontal="left" vertical="center"/>
    </xf>
    <xf numFmtId="179" fontId="49" fillId="0" borderId="5" applyNumberFormat="0" applyFill="0" applyAlignment="0" applyProtection="0"/>
    <xf numFmtId="0" fontId="97" fillId="0" borderId="6" applyNumberFormat="0" applyFill="0" applyAlignment="0" applyProtection="0"/>
    <xf numFmtId="179" fontId="50" fillId="0" borderId="7" applyNumberFormat="0" applyFill="0" applyAlignment="0" applyProtection="0"/>
    <xf numFmtId="0" fontId="98" fillId="0" borderId="7" applyNumberFormat="0" applyFill="0" applyAlignment="0" applyProtection="0"/>
    <xf numFmtId="179" fontId="51" fillId="0" borderId="8" applyNumberFormat="0" applyFill="0" applyAlignment="0" applyProtection="0"/>
    <xf numFmtId="0" fontId="99" fillId="0" borderId="9" applyNumberFormat="0" applyFill="0" applyAlignment="0" applyProtection="0"/>
    <xf numFmtId="179" fontId="51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79" fontId="52" fillId="39" borderId="1" applyNumberFormat="0" applyAlignment="0" applyProtection="0"/>
    <xf numFmtId="10" fontId="36" fillId="49" borderId="10" applyNumberFormat="0" applyBorder="0" applyAlignment="0" applyProtection="0"/>
    <xf numFmtId="0" fontId="53" fillId="12" borderId="1" applyNumberFormat="0" applyAlignment="0" applyProtection="0"/>
    <xf numFmtId="0" fontId="53" fillId="12" borderId="1" applyNumberFormat="0" applyAlignment="0" applyProtection="0"/>
    <xf numFmtId="0" fontId="53" fillId="12" borderId="1" applyNumberFormat="0" applyAlignment="0" applyProtection="0"/>
    <xf numFmtId="0" fontId="53" fillId="12" borderId="1" applyNumberFormat="0" applyAlignment="0" applyProtection="0"/>
    <xf numFmtId="0" fontId="53" fillId="12" borderId="1" applyNumberFormat="0" applyAlignment="0" applyProtection="0"/>
    <xf numFmtId="179" fontId="53" fillId="12" borderId="1" applyNumberFormat="0" applyAlignment="0" applyProtection="0"/>
    <xf numFmtId="179" fontId="27" fillId="50" borderId="11">
      <alignment wrapText="1"/>
      <protection locked="0"/>
    </xf>
    <xf numFmtId="179" fontId="27" fillId="50" borderId="11">
      <alignment wrapText="1"/>
      <protection locked="0"/>
    </xf>
    <xf numFmtId="3" fontId="36" fillId="41" borderId="0" applyNumberFormat="0" applyFont="0" applyAlignment="0">
      <protection locked="0"/>
    </xf>
    <xf numFmtId="3" fontId="36" fillId="41" borderId="0" applyNumberFormat="0" applyFont="0" applyBorder="0" applyAlignment="0">
      <protection locked="0"/>
    </xf>
    <xf numFmtId="3" fontId="36" fillId="41" borderId="0" applyNumberFormat="0" applyFont="0" applyBorder="0" applyAlignment="0">
      <protection locked="0"/>
    </xf>
    <xf numFmtId="179" fontId="54" fillId="0" borderId="12" applyNumberFormat="0" applyFill="0" applyAlignment="0" applyProtection="0"/>
    <xf numFmtId="0" fontId="100" fillId="0" borderId="13" applyNumberFormat="0" applyFill="0" applyAlignment="0" applyProtection="0"/>
    <xf numFmtId="3" fontId="36" fillId="41" borderId="0" applyNumberFormat="0" applyFont="0" applyBorder="0" applyAlignment="0">
      <protection locked="0"/>
    </xf>
    <xf numFmtId="3" fontId="36" fillId="41" borderId="0" applyNumberFormat="0" applyFont="0" applyBorder="0" applyAlignment="0">
      <protection locked="0"/>
    </xf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79" fontId="56" fillId="39" borderId="0" applyNumberFormat="0" applyBorder="0" applyAlignment="0" applyProtection="0"/>
    <xf numFmtId="0" fontId="56" fillId="51" borderId="0" applyNumberFormat="0" applyBorder="0" applyAlignment="0" applyProtection="0"/>
    <xf numFmtId="179" fontId="28" fillId="0" borderId="0"/>
    <xf numFmtId="186" fontId="27" fillId="0" borderId="0"/>
    <xf numFmtId="186" fontId="27" fillId="0" borderId="0"/>
    <xf numFmtId="179" fontId="27" fillId="0" borderId="0"/>
    <xf numFmtId="179" fontId="28" fillId="0" borderId="0"/>
    <xf numFmtId="179" fontId="28" fillId="0" borderId="0"/>
    <xf numFmtId="179" fontId="27" fillId="38" borderId="14" applyNumberFormat="0" applyFont="0" applyAlignment="0" applyProtection="0"/>
    <xf numFmtId="179" fontId="27" fillId="38" borderId="14" applyNumberFormat="0" applyFont="0" applyAlignment="0" applyProtection="0"/>
    <xf numFmtId="0" fontId="27" fillId="6" borderId="14" applyNumberFormat="0" applyFont="0" applyAlignment="0" applyProtection="0"/>
    <xf numFmtId="3" fontId="36" fillId="41" borderId="0" applyNumberFormat="0" applyFont="0" applyBorder="0" applyAlignment="0">
      <protection locked="0"/>
    </xf>
    <xf numFmtId="3" fontId="36" fillId="41" borderId="0" applyNumberFormat="0" applyFont="0" applyBorder="0" applyAlignment="0">
      <protection locked="0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57" fillId="42" borderId="15" applyNumberFormat="0" applyAlignment="0" applyProtection="0"/>
    <xf numFmtId="0" fontId="57" fillId="16" borderId="15" applyNumberFormat="0" applyAlignment="0" applyProtection="0"/>
    <xf numFmtId="10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55" fillId="0" borderId="16" applyNumberFormat="0" applyBorder="0"/>
    <xf numFmtId="4" fontId="45" fillId="0" borderId="0">
      <alignment horizontal="right"/>
    </xf>
    <xf numFmtId="0" fontId="55" fillId="0" borderId="0" applyNumberFormat="0" applyFont="0" applyFill="0" applyBorder="0" applyAlignment="0" applyProtection="0">
      <alignment horizontal="left"/>
    </xf>
    <xf numFmtId="0" fontId="58" fillId="0" borderId="17">
      <alignment horizontal="center"/>
    </xf>
    <xf numFmtId="4" fontId="59" fillId="0" borderId="0">
      <alignment horizontal="right"/>
    </xf>
    <xf numFmtId="182" fontId="43" fillId="0" borderId="0" applyFont="0" applyFill="0" applyBorder="0" applyAlignment="0" applyProtection="0"/>
    <xf numFmtId="184" fontId="43" fillId="0" borderId="0" applyFont="0" applyFill="0" applyBorder="0" applyAlignment="0" applyProtection="0"/>
    <xf numFmtId="4" fontId="30" fillId="52" borderId="15" applyNumberFormat="0" applyProtection="0">
      <alignment vertical="center"/>
    </xf>
    <xf numFmtId="4" fontId="60" fillId="52" borderId="15" applyNumberFormat="0" applyProtection="0">
      <alignment vertical="center"/>
    </xf>
    <xf numFmtId="4" fontId="30" fillId="52" borderId="15" applyNumberFormat="0" applyProtection="0">
      <alignment horizontal="left" vertical="center" indent="1"/>
    </xf>
    <xf numFmtId="4" fontId="30" fillId="52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4" fontId="30" fillId="54" borderId="15" applyNumberFormat="0" applyProtection="0">
      <alignment horizontal="right" vertical="center"/>
    </xf>
    <xf numFmtId="4" fontId="30" fillId="55" borderId="15" applyNumberFormat="0" applyProtection="0">
      <alignment horizontal="right" vertical="center"/>
    </xf>
    <xf numFmtId="4" fontId="30" fillId="56" borderId="15" applyNumberFormat="0" applyProtection="0">
      <alignment horizontal="right" vertical="center"/>
    </xf>
    <xf numFmtId="4" fontId="30" fillId="57" borderId="15" applyNumberFormat="0" applyProtection="0">
      <alignment horizontal="right" vertical="center"/>
    </xf>
    <xf numFmtId="4" fontId="30" fillId="58" borderId="15" applyNumberFormat="0" applyProtection="0">
      <alignment horizontal="right" vertical="center"/>
    </xf>
    <xf numFmtId="4" fontId="30" fillId="59" borderId="15" applyNumberFormat="0" applyProtection="0">
      <alignment horizontal="right" vertical="center"/>
    </xf>
    <xf numFmtId="4" fontId="30" fillId="60" borderId="15" applyNumberFormat="0" applyProtection="0">
      <alignment horizontal="right" vertical="center"/>
    </xf>
    <xf numFmtId="4" fontId="30" fillId="61" borderId="15" applyNumberFormat="0" applyProtection="0">
      <alignment horizontal="right" vertical="center"/>
    </xf>
    <xf numFmtId="4" fontId="30" fillId="62" borderId="15" applyNumberFormat="0" applyProtection="0">
      <alignment horizontal="right" vertical="center"/>
    </xf>
    <xf numFmtId="4" fontId="61" fillId="63" borderId="15" applyNumberFormat="0" applyProtection="0">
      <alignment horizontal="left" vertical="center" indent="1"/>
    </xf>
    <xf numFmtId="4" fontId="30" fillId="64" borderId="18" applyNumberFormat="0" applyProtection="0">
      <alignment horizontal="left" vertical="center" indent="1"/>
    </xf>
    <xf numFmtId="4" fontId="62" fillId="65" borderId="0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4" fontId="30" fillId="64" borderId="15" applyNumberFormat="0" applyProtection="0">
      <alignment horizontal="left" vertical="center" indent="1"/>
    </xf>
    <xf numFmtId="4" fontId="30" fillId="66" borderId="15" applyNumberFormat="0" applyProtection="0">
      <alignment horizontal="left" vertical="center" indent="1"/>
    </xf>
    <xf numFmtId="179" fontId="27" fillId="66" borderId="15" applyNumberFormat="0" applyProtection="0">
      <alignment horizontal="left" vertical="center" indent="1"/>
    </xf>
    <xf numFmtId="179" fontId="27" fillId="66" borderId="15" applyNumberFormat="0" applyProtection="0">
      <alignment horizontal="left" vertical="center" indent="1"/>
    </xf>
    <xf numFmtId="179" fontId="27" fillId="66" borderId="15" applyNumberFormat="0" applyProtection="0">
      <alignment horizontal="left" vertical="center" indent="1"/>
    </xf>
    <xf numFmtId="179" fontId="27" fillId="66" borderId="15" applyNumberFormat="0" applyProtection="0">
      <alignment horizontal="left" vertical="center" indent="1"/>
    </xf>
    <xf numFmtId="179" fontId="27" fillId="67" borderId="15" applyNumberFormat="0" applyProtection="0">
      <alignment horizontal="left" vertical="center" indent="1"/>
    </xf>
    <xf numFmtId="179" fontId="27" fillId="67" borderId="15" applyNumberFormat="0" applyProtection="0">
      <alignment horizontal="left" vertical="center" indent="1"/>
    </xf>
    <xf numFmtId="179" fontId="27" fillId="67" borderId="15" applyNumberFormat="0" applyProtection="0">
      <alignment horizontal="left" vertical="center" indent="1"/>
    </xf>
    <xf numFmtId="179" fontId="27" fillId="67" borderId="15" applyNumberFormat="0" applyProtection="0">
      <alignment horizontal="left" vertical="center" indent="1"/>
    </xf>
    <xf numFmtId="179" fontId="27" fillId="48" borderId="15" applyNumberFormat="0" applyProtection="0">
      <alignment horizontal="left" vertical="center" indent="1"/>
    </xf>
    <xf numFmtId="179" fontId="27" fillId="48" borderId="15" applyNumberFormat="0" applyProtection="0">
      <alignment horizontal="left" vertical="center" indent="1"/>
    </xf>
    <xf numFmtId="179" fontId="27" fillId="48" borderId="15" applyNumberFormat="0" applyProtection="0">
      <alignment horizontal="left" vertical="center" indent="1"/>
    </xf>
    <xf numFmtId="179" fontId="27" fillId="48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6" fillId="0" borderId="0">
      <alignment vertical="center"/>
    </xf>
    <xf numFmtId="179" fontId="63" fillId="13" borderId="19" applyBorder="0"/>
    <xf numFmtId="4" fontId="30" fillId="49" borderId="15" applyNumberFormat="0" applyProtection="0">
      <alignment vertical="center"/>
    </xf>
    <xf numFmtId="4" fontId="60" fillId="49" borderId="15" applyNumberFormat="0" applyProtection="0">
      <alignment vertical="center"/>
    </xf>
    <xf numFmtId="4" fontId="30" fillId="49" borderId="15" applyNumberFormat="0" applyProtection="0">
      <alignment horizontal="left" vertical="center" indent="1"/>
    </xf>
    <xf numFmtId="4" fontId="30" fillId="49" borderId="15" applyNumberFormat="0" applyProtection="0">
      <alignment horizontal="left" vertical="center" indent="1"/>
    </xf>
    <xf numFmtId="4" fontId="30" fillId="64" borderId="15" applyNumberFormat="0" applyProtection="0">
      <alignment horizontal="right" vertical="center"/>
    </xf>
    <xf numFmtId="4" fontId="60" fillId="64" borderId="15" applyNumberFormat="0" applyProtection="0">
      <alignment horizontal="right" vertical="center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27" fillId="53" borderId="15" applyNumberFormat="0" applyProtection="0">
      <alignment horizontal="left" vertical="center" indent="1"/>
    </xf>
    <xf numFmtId="179" fontId="64" fillId="0" borderId="0"/>
    <xf numFmtId="179" fontId="36" fillId="68" borderId="10"/>
    <xf numFmtId="4" fontId="65" fillId="64" borderId="15" applyNumberFormat="0" applyProtection="0">
      <alignment horizontal="right" vertical="center"/>
    </xf>
    <xf numFmtId="179" fontId="66" fillId="0" borderId="0">
      <alignment horizontal="left"/>
    </xf>
    <xf numFmtId="3" fontId="36" fillId="41" borderId="0" applyNumberFormat="0" applyFont="0" applyBorder="0" applyAlignment="0">
      <protection locked="0"/>
    </xf>
    <xf numFmtId="179" fontId="67" fillId="0" borderId="0" applyNumberFormat="0" applyFill="0" applyBorder="0" applyAlignment="0" applyProtection="0"/>
    <xf numFmtId="179" fontId="68" fillId="0" borderId="0"/>
    <xf numFmtId="179" fontId="67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179" fontId="44" fillId="0" borderId="20" applyNumberFormat="0" applyFill="0" applyAlignment="0" applyProtection="0"/>
    <xf numFmtId="0" fontId="44" fillId="0" borderId="21" applyNumberFormat="0" applyFill="0" applyAlignment="0" applyProtection="0"/>
    <xf numFmtId="179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79" fontId="70" fillId="69" borderId="0"/>
    <xf numFmtId="0" fontId="8" fillId="26" borderId="0" applyNumberFormat="0" applyBorder="0" applyAlignment="0" applyProtection="0">
      <alignment vertical="center"/>
    </xf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8" fillId="23" borderId="0" applyNumberFormat="0" applyBorder="0" applyAlignment="0" applyProtection="0"/>
    <xf numFmtId="179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179" fontId="8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179" fontId="33" fillId="26" borderId="0" applyNumberFormat="0" applyBorder="0" applyAlignment="0" applyProtection="0">
      <alignment vertical="center"/>
    </xf>
    <xf numFmtId="179" fontId="8" fillId="26" borderId="0" applyNumberFormat="0" applyBorder="0" applyAlignment="0" applyProtection="0">
      <alignment vertical="center"/>
    </xf>
    <xf numFmtId="0" fontId="107" fillId="9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8" borderId="0" applyNumberFormat="0" applyBorder="0" applyAlignment="0" applyProtection="0"/>
    <xf numFmtId="0" fontId="7" fillId="34" borderId="0" applyNumberFormat="0" applyBorder="0" applyAlignment="0" applyProtection="0"/>
    <xf numFmtId="0" fontId="8" fillId="30" borderId="0" applyNumberFormat="0" applyBorder="0" applyAlignment="0" applyProtection="0"/>
    <xf numFmtId="179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179" fontId="8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179" fontId="33" fillId="31" borderId="0" applyNumberFormat="0" applyBorder="0" applyAlignment="0" applyProtection="0">
      <alignment vertical="center"/>
    </xf>
    <xf numFmtId="179" fontId="8" fillId="31" borderId="0" applyNumberFormat="0" applyBorder="0" applyAlignment="0" applyProtection="0">
      <alignment vertical="center"/>
    </xf>
    <xf numFmtId="0" fontId="107" fillId="9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8" borderId="0" applyNumberFormat="0" applyBorder="0" applyAlignment="0" applyProtection="0"/>
    <xf numFmtId="0" fontId="7" fillId="47" borderId="0" applyNumberFormat="0" applyBorder="0" applyAlignment="0" applyProtection="0"/>
    <xf numFmtId="0" fontId="8" fillId="34" borderId="0" applyNumberFormat="0" applyBorder="0" applyAlignment="0" applyProtection="0"/>
    <xf numFmtId="179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79" fontId="8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179" fontId="33" fillId="14" borderId="0" applyNumberFormat="0" applyBorder="0" applyAlignment="0" applyProtection="0">
      <alignment vertical="center"/>
    </xf>
    <xf numFmtId="179" fontId="8" fillId="14" borderId="0" applyNumberFormat="0" applyBorder="0" applyAlignment="0" applyProtection="0">
      <alignment vertical="center"/>
    </xf>
    <xf numFmtId="0" fontId="107" fillId="9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70" borderId="0" applyNumberFormat="0" applyBorder="0" applyAlignment="0" applyProtection="0"/>
    <xf numFmtId="0" fontId="7" fillId="34" borderId="0" applyNumberFormat="0" applyBorder="0" applyAlignment="0" applyProtection="0"/>
    <xf numFmtId="0" fontId="8" fillId="34" borderId="0" applyNumberFormat="0" applyBorder="0" applyAlignment="0" applyProtection="0"/>
    <xf numFmtId="179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8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9" fontId="33" fillId="19" borderId="0" applyNumberFormat="0" applyBorder="0" applyAlignment="0" applyProtection="0">
      <alignment vertical="center"/>
    </xf>
    <xf numFmtId="179" fontId="8" fillId="19" borderId="0" applyNumberFormat="0" applyBorder="0" applyAlignment="0" applyProtection="0">
      <alignment vertical="center"/>
    </xf>
    <xf numFmtId="0" fontId="107" fillId="9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71" borderId="0" applyNumberFormat="0" applyBorder="0" applyAlignment="0" applyProtection="0"/>
    <xf numFmtId="0" fontId="7" fillId="70" borderId="0" applyNumberFormat="0" applyBorder="0" applyAlignment="0" applyProtection="0"/>
    <xf numFmtId="0" fontId="8" fillId="23" borderId="0" applyNumberFormat="0" applyBorder="0" applyAlignment="0" applyProtection="0"/>
    <xf numFmtId="179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9" fontId="8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9" fontId="33" fillId="20" borderId="0" applyNumberFormat="0" applyBorder="0" applyAlignment="0" applyProtection="0">
      <alignment vertical="center"/>
    </xf>
    <xf numFmtId="179" fontId="8" fillId="20" borderId="0" applyNumberFormat="0" applyBorder="0" applyAlignment="0" applyProtection="0">
      <alignment vertical="center"/>
    </xf>
    <xf numFmtId="0" fontId="107" fillId="9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8" fillId="39" borderId="0" applyNumberFormat="0" applyBorder="0" applyAlignment="0" applyProtection="0"/>
    <xf numFmtId="179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179" fontId="8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179" fontId="33" fillId="40" borderId="0" applyNumberFormat="0" applyBorder="0" applyAlignment="0" applyProtection="0">
      <alignment vertical="center"/>
    </xf>
    <xf numFmtId="179" fontId="8" fillId="40" borderId="0" applyNumberFormat="0" applyBorder="0" applyAlignment="0" applyProtection="0">
      <alignment vertical="center"/>
    </xf>
    <xf numFmtId="0" fontId="107" fillId="99" borderId="0" applyNumberFormat="0" applyBorder="0" applyAlignment="0" applyProtection="0">
      <alignment vertical="center"/>
    </xf>
    <xf numFmtId="0" fontId="6" fillId="0" borderId="10">
      <alignment vertical="center"/>
    </xf>
    <xf numFmtId="0" fontId="6" fillId="0" borderId="10">
      <alignment vertical="center"/>
    </xf>
    <xf numFmtId="0" fontId="6" fillId="0" borderId="10">
      <alignment vertical="center"/>
    </xf>
    <xf numFmtId="0" fontId="6" fillId="0" borderId="10">
      <alignment vertical="center"/>
    </xf>
    <xf numFmtId="0" fontId="6" fillId="0" borderId="10">
      <alignment vertical="center"/>
    </xf>
    <xf numFmtId="9" fontId="71" fillId="0" borderId="0" applyFont="0" applyFill="0" applyBorder="0" applyAlignment="0" applyProtection="0"/>
    <xf numFmtId="0" fontId="72" fillId="0" borderId="0"/>
    <xf numFmtId="0" fontId="9" fillId="0" borderId="0" applyNumberFormat="0" applyFill="0" applyBorder="0" applyAlignment="0" applyProtection="0">
      <alignment vertical="center"/>
    </xf>
    <xf numFmtId="179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9" fillId="0" borderId="0" applyNumberFormat="0" applyFill="0" applyBorder="0" applyAlignment="0" applyProtection="0">
      <alignment vertical="center"/>
    </xf>
    <xf numFmtId="179" fontId="9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" fillId="43" borderId="2" applyNumberFormat="0" applyAlignment="0" applyProtection="0">
      <alignment vertical="center"/>
    </xf>
    <xf numFmtId="179" fontId="10" fillId="43" borderId="2" applyNumberFormat="0" applyAlignment="0" applyProtection="0">
      <alignment vertical="center"/>
    </xf>
    <xf numFmtId="0" fontId="10" fillId="43" borderId="2" applyNumberFormat="0" applyAlignment="0" applyProtection="0">
      <alignment vertical="center"/>
    </xf>
    <xf numFmtId="179" fontId="10" fillId="43" borderId="2" applyNumberFormat="0" applyAlignment="0" applyProtection="0">
      <alignment vertical="center"/>
    </xf>
    <xf numFmtId="0" fontId="73" fillId="43" borderId="2" applyNumberFormat="0" applyAlignment="0" applyProtection="0">
      <alignment vertical="center"/>
    </xf>
    <xf numFmtId="179" fontId="73" fillId="43" borderId="2" applyNumberFormat="0" applyAlignment="0" applyProtection="0">
      <alignment vertical="center"/>
    </xf>
    <xf numFmtId="179" fontId="10" fillId="43" borderId="2" applyNumberFormat="0" applyAlignment="0" applyProtection="0">
      <alignment vertical="center"/>
    </xf>
    <xf numFmtId="0" fontId="109" fillId="100" borderId="34" applyNumberFormat="0" applyAlignment="0" applyProtection="0">
      <alignment vertical="center"/>
    </xf>
    <xf numFmtId="41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11" fillId="51" borderId="0" applyNumberFormat="0" applyBorder="0" applyAlignment="0" applyProtection="0">
      <alignment vertical="center"/>
    </xf>
    <xf numFmtId="179" fontId="11" fillId="51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179" fontId="11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179" fontId="75" fillId="51" borderId="0" applyNumberFormat="0" applyBorder="0" applyAlignment="0" applyProtection="0">
      <alignment vertical="center"/>
    </xf>
    <xf numFmtId="179" fontId="11" fillId="51" borderId="0" applyNumberFormat="0" applyBorder="0" applyAlignment="0" applyProtection="0">
      <alignment vertical="center"/>
    </xf>
    <xf numFmtId="0" fontId="110" fillId="101" borderId="0" applyNumberFormat="0" applyBorder="0" applyAlignment="0" applyProtection="0">
      <alignment vertical="center"/>
    </xf>
    <xf numFmtId="42" fontId="74" fillId="0" borderId="0" applyFont="0" applyFill="0" applyBorder="0" applyAlignment="0" applyProtection="0"/>
    <xf numFmtId="44" fontId="74" fillId="0" borderId="0" applyFont="0" applyFill="0" applyBorder="0" applyAlignment="0" applyProtection="0"/>
    <xf numFmtId="0" fontId="74" fillId="0" borderId="0"/>
    <xf numFmtId="9" fontId="2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06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179" fontId="77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/>
    <xf numFmtId="0" fontId="3" fillId="6" borderId="14" applyNumberFormat="0" applyFont="0" applyAlignment="0" applyProtection="0">
      <alignment vertical="center"/>
    </xf>
    <xf numFmtId="179" fontId="26" fillId="6" borderId="14" applyNumberFormat="0" applyFont="0" applyAlignment="0" applyProtection="0">
      <alignment vertical="center"/>
    </xf>
    <xf numFmtId="0" fontId="7" fillId="6" borderId="14" applyNumberFormat="0" applyFont="0" applyAlignment="0" applyProtection="0">
      <alignment vertical="center"/>
    </xf>
    <xf numFmtId="0" fontId="7" fillId="6" borderId="14" applyNumberFormat="0" applyFont="0" applyAlignment="0" applyProtection="0">
      <alignment vertical="center"/>
    </xf>
    <xf numFmtId="179" fontId="7" fillId="6" borderId="14" applyNumberFormat="0" applyFont="0" applyAlignment="0" applyProtection="0">
      <alignment vertical="center"/>
    </xf>
    <xf numFmtId="179" fontId="7" fillId="6" borderId="14" applyNumberFormat="0" applyFont="0" applyAlignment="0" applyProtection="0">
      <alignment vertical="center"/>
    </xf>
    <xf numFmtId="0" fontId="31" fillId="6" borderId="14" applyNumberFormat="0" applyFont="0" applyAlignment="0" applyProtection="0">
      <alignment vertical="center"/>
    </xf>
    <xf numFmtId="179" fontId="31" fillId="6" borderId="14" applyNumberFormat="0" applyFont="0" applyAlignment="0" applyProtection="0">
      <alignment vertical="center"/>
    </xf>
    <xf numFmtId="0" fontId="7" fillId="6" borderId="14" applyNumberFormat="0" applyFont="0" applyAlignment="0" applyProtection="0">
      <alignment vertical="center"/>
    </xf>
    <xf numFmtId="179" fontId="7" fillId="6" borderId="14" applyNumberFormat="0" applyFont="0" applyAlignment="0" applyProtection="0">
      <alignment vertical="center"/>
    </xf>
    <xf numFmtId="179" fontId="26" fillId="6" borderId="14" applyNumberFormat="0" applyFont="0" applyAlignment="0" applyProtection="0">
      <alignment vertical="center"/>
    </xf>
    <xf numFmtId="0" fontId="106" fillId="102" borderId="35" applyNumberFormat="0" applyFont="0" applyAlignment="0" applyProtection="0">
      <alignment vertical="center"/>
    </xf>
    <xf numFmtId="0" fontId="26" fillId="6" borderId="14" applyNumberFormat="0" applyFont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179" fontId="12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179" fontId="12" fillId="0" borderId="13" applyNumberFormat="0" applyFill="0" applyAlignment="0" applyProtection="0">
      <alignment vertical="center"/>
    </xf>
    <xf numFmtId="0" fontId="78" fillId="0" borderId="13" applyNumberFormat="0" applyFill="0" applyAlignment="0" applyProtection="0">
      <alignment vertical="center"/>
    </xf>
    <xf numFmtId="179" fontId="78" fillId="0" borderId="13" applyNumberFormat="0" applyFill="0" applyAlignment="0" applyProtection="0">
      <alignment vertical="center"/>
    </xf>
    <xf numFmtId="179" fontId="12" fillId="0" borderId="13" applyNumberFormat="0" applyFill="0" applyAlignment="0" applyProtection="0">
      <alignment vertical="center"/>
    </xf>
    <xf numFmtId="0" fontId="113" fillId="0" borderId="3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79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79" fontId="13" fillId="5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179" fontId="79" fillId="5" borderId="0" applyNumberFormat="0" applyBorder="0" applyAlignment="0" applyProtection="0">
      <alignment vertical="center"/>
    </xf>
    <xf numFmtId="179" fontId="13" fillId="5" borderId="0" applyNumberFormat="0" applyBorder="0" applyAlignment="0" applyProtection="0">
      <alignment vertical="center"/>
    </xf>
    <xf numFmtId="0" fontId="114" fillId="103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72" borderId="0" applyNumberFormat="0" applyBorder="0" applyAlignment="0" applyProtection="0"/>
    <xf numFmtId="0" fontId="14" fillId="16" borderId="1" applyNumberFormat="0" applyAlignment="0" applyProtection="0">
      <alignment vertical="center"/>
    </xf>
    <xf numFmtId="179" fontId="14" fillId="16" borderId="1" applyNumberFormat="0" applyAlignment="0" applyProtection="0">
      <alignment vertical="center"/>
    </xf>
    <xf numFmtId="0" fontId="14" fillId="16" borderId="1" applyNumberFormat="0" applyAlignment="0" applyProtection="0">
      <alignment vertical="center"/>
    </xf>
    <xf numFmtId="179" fontId="14" fillId="16" borderId="1" applyNumberFormat="0" applyAlignment="0" applyProtection="0">
      <alignment vertical="center"/>
    </xf>
    <xf numFmtId="0" fontId="80" fillId="16" borderId="1" applyNumberFormat="0" applyAlignment="0" applyProtection="0">
      <alignment vertical="center"/>
    </xf>
    <xf numFmtId="179" fontId="80" fillId="16" borderId="1" applyNumberFormat="0" applyAlignment="0" applyProtection="0">
      <alignment vertical="center"/>
    </xf>
    <xf numFmtId="179" fontId="14" fillId="16" borderId="1" applyNumberFormat="0" applyAlignment="0" applyProtection="0">
      <alignment vertical="center"/>
    </xf>
    <xf numFmtId="0" fontId="115" fillId="104" borderId="3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179" fontId="81" fillId="0" borderId="0" applyNumberFormat="0" applyFill="0" applyBorder="0" applyAlignment="0" applyProtection="0">
      <alignment vertical="center"/>
    </xf>
    <xf numFmtId="179" fontId="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38" fontId="106" fillId="0" borderId="0" applyFont="0" applyFill="0" applyBorder="0" applyAlignment="0" applyProtection="0">
      <alignment vertical="center"/>
    </xf>
    <xf numFmtId="38" fontId="93" fillId="0" borderId="0" applyFont="0" applyFill="0" applyBorder="0" applyAlignment="0" applyProtection="0">
      <alignment vertical="center"/>
    </xf>
    <xf numFmtId="38" fontId="11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9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9" fontId="16" fillId="0" borderId="6" applyNumberFormat="0" applyFill="0" applyAlignment="0" applyProtection="0">
      <alignment vertical="center"/>
    </xf>
    <xf numFmtId="0" fontId="82" fillId="0" borderId="6" applyNumberFormat="0" applyFill="0" applyAlignment="0" applyProtection="0">
      <alignment vertical="center"/>
    </xf>
    <xf numFmtId="179" fontId="82" fillId="0" borderId="6" applyNumberFormat="0" applyFill="0" applyAlignment="0" applyProtection="0">
      <alignment vertical="center"/>
    </xf>
    <xf numFmtId="179" fontId="16" fillId="0" borderId="6" applyNumberFormat="0" applyFill="0" applyAlignment="0" applyProtection="0">
      <alignment vertical="center"/>
    </xf>
    <xf numFmtId="0" fontId="118" fillId="0" borderId="3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9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9" fontId="17" fillId="0" borderId="7" applyNumberFormat="0" applyFill="0" applyAlignment="0" applyProtection="0">
      <alignment vertical="center"/>
    </xf>
    <xf numFmtId="0" fontId="83" fillId="0" borderId="7" applyNumberFormat="0" applyFill="0" applyAlignment="0" applyProtection="0">
      <alignment vertical="center"/>
    </xf>
    <xf numFmtId="179" fontId="83" fillId="0" borderId="7" applyNumberFormat="0" applyFill="0" applyAlignment="0" applyProtection="0">
      <alignment vertical="center"/>
    </xf>
    <xf numFmtId="179" fontId="17" fillId="0" borderId="7" applyNumberFormat="0" applyFill="0" applyAlignment="0" applyProtection="0">
      <alignment vertical="center"/>
    </xf>
    <xf numFmtId="0" fontId="119" fillId="0" borderId="3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179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179" fontId="18" fillId="0" borderId="9" applyNumberFormat="0" applyFill="0" applyAlignment="0" applyProtection="0">
      <alignment vertical="center"/>
    </xf>
    <xf numFmtId="0" fontId="84" fillId="0" borderId="9" applyNumberFormat="0" applyFill="0" applyAlignment="0" applyProtection="0">
      <alignment vertical="center"/>
    </xf>
    <xf numFmtId="179" fontId="84" fillId="0" borderId="9" applyNumberFormat="0" applyFill="0" applyAlignment="0" applyProtection="0">
      <alignment vertical="center"/>
    </xf>
    <xf numFmtId="179" fontId="18" fillId="0" borderId="9" applyNumberFormat="0" applyFill="0" applyAlignment="0" applyProtection="0">
      <alignment vertical="center"/>
    </xf>
    <xf numFmtId="0" fontId="120" fillId="0" borderId="4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1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179" fontId="84" fillId="0" borderId="0" applyNumberFormat="0" applyFill="0" applyBorder="0" applyAlignment="0" applyProtection="0">
      <alignment vertical="center"/>
    </xf>
    <xf numFmtId="179" fontId="18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179" fontId="19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179" fontId="19" fillId="0" borderId="21" applyNumberFormat="0" applyFill="0" applyAlignment="0" applyProtection="0">
      <alignment vertical="center"/>
    </xf>
    <xf numFmtId="0" fontId="85" fillId="0" borderId="21" applyNumberFormat="0" applyFill="0" applyAlignment="0" applyProtection="0">
      <alignment vertical="center"/>
    </xf>
    <xf numFmtId="179" fontId="85" fillId="0" borderId="21" applyNumberFormat="0" applyFill="0" applyAlignment="0" applyProtection="0">
      <alignment vertical="center"/>
    </xf>
    <xf numFmtId="179" fontId="19" fillId="0" borderId="21" applyNumberFormat="0" applyFill="0" applyAlignment="0" applyProtection="0">
      <alignment vertical="center"/>
    </xf>
    <xf numFmtId="0" fontId="121" fillId="0" borderId="41" applyNumberFormat="0" applyFill="0" applyAlignment="0" applyProtection="0">
      <alignment vertical="center"/>
    </xf>
    <xf numFmtId="0" fontId="20" fillId="16" borderId="15" applyNumberFormat="0" applyAlignment="0" applyProtection="0">
      <alignment vertical="center"/>
    </xf>
    <xf numFmtId="179" fontId="20" fillId="16" borderId="15" applyNumberFormat="0" applyAlignment="0" applyProtection="0">
      <alignment vertical="center"/>
    </xf>
    <xf numFmtId="0" fontId="20" fillId="16" borderId="15" applyNumberFormat="0" applyAlignment="0" applyProtection="0">
      <alignment vertical="center"/>
    </xf>
    <xf numFmtId="179" fontId="20" fillId="16" borderId="15" applyNumberFormat="0" applyAlignment="0" applyProtection="0">
      <alignment vertical="center"/>
    </xf>
    <xf numFmtId="0" fontId="86" fillId="16" borderId="15" applyNumberFormat="0" applyAlignment="0" applyProtection="0">
      <alignment vertical="center"/>
    </xf>
    <xf numFmtId="179" fontId="86" fillId="16" borderId="15" applyNumberFormat="0" applyAlignment="0" applyProtection="0">
      <alignment vertical="center"/>
    </xf>
    <xf numFmtId="179" fontId="20" fillId="16" borderId="15" applyNumberFormat="0" applyAlignment="0" applyProtection="0">
      <alignment vertical="center"/>
    </xf>
    <xf numFmtId="0" fontId="122" fillId="104" borderId="42" applyNumberFormat="0" applyAlignment="0" applyProtection="0">
      <alignment vertical="center"/>
    </xf>
    <xf numFmtId="0" fontId="102" fillId="0" borderId="0"/>
    <xf numFmtId="0" fontId="123" fillId="0" borderId="0"/>
    <xf numFmtId="0" fontId="104" fillId="0" borderId="0"/>
    <xf numFmtId="0" fontId="105" fillId="0" borderId="0"/>
    <xf numFmtId="0" fontId="27" fillId="0" borderId="0"/>
    <xf numFmtId="0" fontId="106" fillId="0" borderId="0"/>
    <xf numFmtId="0" fontId="106" fillId="0" borderId="0">
      <alignment vertical="center"/>
    </xf>
    <xf numFmtId="0" fontId="10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21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79" fontId="87" fillId="0" borderId="0" applyNumberFormat="0" applyFill="0" applyBorder="0" applyAlignment="0" applyProtection="0">
      <alignment vertical="center"/>
    </xf>
    <xf numFmtId="179" fontId="21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6" fontId="3" fillId="0" borderId="0" applyFont="0" applyFill="0" applyBorder="0" applyAlignment="0" applyProtection="0"/>
    <xf numFmtId="6" fontId="76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6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0" fontId="22" fillId="12" borderId="1" applyNumberFormat="0" applyAlignment="0" applyProtection="0">
      <alignment vertical="center"/>
    </xf>
    <xf numFmtId="179" fontId="22" fillId="12" borderId="1" applyNumberFormat="0" applyAlignment="0" applyProtection="0">
      <alignment vertical="center"/>
    </xf>
    <xf numFmtId="0" fontId="22" fillId="12" borderId="1" applyNumberFormat="0" applyAlignment="0" applyProtection="0">
      <alignment vertical="center"/>
    </xf>
    <xf numFmtId="179" fontId="22" fillId="12" borderId="1" applyNumberFormat="0" applyAlignment="0" applyProtection="0">
      <alignment vertical="center"/>
    </xf>
    <xf numFmtId="0" fontId="88" fillId="12" borderId="1" applyNumberFormat="0" applyAlignment="0" applyProtection="0">
      <alignment vertical="center"/>
    </xf>
    <xf numFmtId="179" fontId="88" fillId="12" borderId="1" applyNumberFormat="0" applyAlignment="0" applyProtection="0">
      <alignment vertical="center"/>
    </xf>
    <xf numFmtId="179" fontId="22" fillId="12" borderId="1" applyNumberFormat="0" applyAlignment="0" applyProtection="0">
      <alignment vertical="center"/>
    </xf>
    <xf numFmtId="0" fontId="125" fillId="105" borderId="37" applyNumberFormat="0" applyAlignment="0" applyProtection="0">
      <alignment vertical="center"/>
    </xf>
    <xf numFmtId="0" fontId="106" fillId="0" borderId="0"/>
    <xf numFmtId="179" fontId="27" fillId="0" borderId="0"/>
    <xf numFmtId="0" fontId="26" fillId="0" borderId="0">
      <alignment vertical="center"/>
    </xf>
    <xf numFmtId="0" fontId="26" fillId="0" borderId="0"/>
    <xf numFmtId="179" fontId="27" fillId="0" borderId="0">
      <alignment vertical="center"/>
    </xf>
    <xf numFmtId="0" fontId="26" fillId="0" borderId="0">
      <alignment vertical="center"/>
    </xf>
    <xf numFmtId="0" fontId="106" fillId="0" borderId="0">
      <alignment vertical="center"/>
    </xf>
    <xf numFmtId="0" fontId="106" fillId="0" borderId="0"/>
    <xf numFmtId="0" fontId="106" fillId="0" borderId="0"/>
    <xf numFmtId="0" fontId="26" fillId="0" borderId="0">
      <alignment vertical="center"/>
    </xf>
    <xf numFmtId="0" fontId="126" fillId="0" borderId="0">
      <alignment vertical="center"/>
    </xf>
    <xf numFmtId="0" fontId="106" fillId="0" borderId="0"/>
    <xf numFmtId="0" fontId="106" fillId="0" borderId="0"/>
    <xf numFmtId="0" fontId="106" fillId="0" borderId="0">
      <alignment vertical="center"/>
    </xf>
    <xf numFmtId="0" fontId="26" fillId="0" borderId="0">
      <alignment vertical="center"/>
    </xf>
    <xf numFmtId="0" fontId="127" fillId="0" borderId="0">
      <alignment vertical="center"/>
    </xf>
    <xf numFmtId="0" fontId="26" fillId="0" borderId="0"/>
    <xf numFmtId="0" fontId="106" fillId="0" borderId="0">
      <alignment vertical="center"/>
    </xf>
    <xf numFmtId="0" fontId="106" fillId="0" borderId="0">
      <alignment vertical="center"/>
    </xf>
    <xf numFmtId="0" fontId="26" fillId="0" borderId="0">
      <alignment vertical="center"/>
    </xf>
    <xf numFmtId="0" fontId="106" fillId="0" borderId="0">
      <alignment vertical="center"/>
    </xf>
    <xf numFmtId="0" fontId="4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0" fontId="76" fillId="0" borderId="0"/>
    <xf numFmtId="179" fontId="76" fillId="0" borderId="0"/>
    <xf numFmtId="0" fontId="117" fillId="0" borderId="0">
      <alignment vertical="center"/>
    </xf>
    <xf numFmtId="0" fontId="26" fillId="0" borderId="0"/>
    <xf numFmtId="0" fontId="89" fillId="0" borderId="0">
      <alignment vertical="center"/>
    </xf>
    <xf numFmtId="0" fontId="106" fillId="0" borderId="0">
      <alignment vertical="center"/>
    </xf>
    <xf numFmtId="0" fontId="7" fillId="0" borderId="0">
      <alignment vertical="center"/>
    </xf>
    <xf numFmtId="0" fontId="128" fillId="0" borderId="0">
      <alignment vertical="center"/>
    </xf>
    <xf numFmtId="0" fontId="129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30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89" fillId="0" borderId="0">
      <alignment vertical="center"/>
    </xf>
    <xf numFmtId="0" fontId="26" fillId="0" borderId="0"/>
    <xf numFmtId="0" fontId="7" fillId="0" borderId="0">
      <alignment vertical="center"/>
    </xf>
    <xf numFmtId="0" fontId="7" fillId="0" borderId="0">
      <alignment vertical="center"/>
    </xf>
    <xf numFmtId="0" fontId="106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179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9" fontId="7" fillId="0" borderId="0">
      <alignment vertical="center"/>
    </xf>
    <xf numFmtId="0" fontId="106" fillId="0" borderId="0">
      <alignment vertical="center"/>
    </xf>
    <xf numFmtId="0" fontId="26" fillId="0" borderId="0"/>
    <xf numFmtId="0" fontId="35" fillId="0" borderId="0"/>
    <xf numFmtId="0" fontId="26" fillId="0" borderId="0"/>
    <xf numFmtId="0" fontId="26" fillId="0" borderId="0"/>
    <xf numFmtId="0" fontId="106" fillId="0" borderId="0">
      <alignment vertical="center"/>
    </xf>
    <xf numFmtId="0" fontId="106" fillId="0" borderId="0">
      <alignment vertical="center"/>
    </xf>
    <xf numFmtId="179" fontId="7" fillId="0" borderId="0">
      <alignment vertical="center"/>
    </xf>
    <xf numFmtId="0" fontId="26" fillId="0" borderId="0"/>
    <xf numFmtId="0" fontId="26" fillId="0" borderId="0">
      <alignment vertical="center"/>
    </xf>
    <xf numFmtId="179" fontId="27" fillId="0" borderId="0"/>
    <xf numFmtId="0" fontId="27" fillId="0" borderId="0"/>
    <xf numFmtId="0" fontId="106" fillId="0" borderId="0">
      <alignment vertical="center"/>
    </xf>
    <xf numFmtId="179" fontId="27" fillId="0" borderId="0">
      <alignment vertical="center"/>
    </xf>
    <xf numFmtId="0" fontId="106" fillId="0" borderId="0">
      <alignment vertical="center"/>
    </xf>
    <xf numFmtId="0" fontId="26" fillId="0" borderId="0"/>
    <xf numFmtId="0" fontId="106" fillId="0" borderId="0"/>
    <xf numFmtId="179" fontId="31" fillId="0" borderId="0">
      <alignment vertical="center"/>
    </xf>
    <xf numFmtId="0" fontId="106" fillId="0" borderId="0"/>
    <xf numFmtId="0" fontId="106" fillId="0" borderId="0"/>
    <xf numFmtId="0" fontId="106" fillId="0" borderId="0"/>
    <xf numFmtId="0" fontId="90" fillId="29" borderId="0" applyNumberFormat="0" applyBorder="0" applyAlignment="0" applyProtection="0"/>
    <xf numFmtId="0" fontId="11" fillId="73" borderId="0" applyNumberFormat="0" applyBorder="0" applyAlignment="0" applyProtection="0"/>
    <xf numFmtId="0" fontId="91" fillId="0" borderId="0"/>
    <xf numFmtId="0" fontId="23" fillId="47" borderId="0" applyNumberFormat="0" applyBorder="0" applyAlignment="0" applyProtection="0"/>
    <xf numFmtId="0" fontId="23" fillId="74" borderId="0" applyNumberFormat="0" applyBorder="0" applyProtection="0">
      <alignment vertical="center"/>
    </xf>
    <xf numFmtId="0" fontId="23" fillId="7" borderId="0" applyNumberFormat="0" applyBorder="0" applyAlignment="0" applyProtection="0">
      <alignment vertical="center"/>
    </xf>
    <xf numFmtId="179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179" fontId="23" fillId="7" borderId="0" applyNumberFormat="0" applyBorder="0" applyAlignment="0" applyProtection="0">
      <alignment vertical="center"/>
    </xf>
    <xf numFmtId="0" fontId="92" fillId="7" borderId="0" applyNumberFormat="0" applyBorder="0" applyAlignment="0" applyProtection="0">
      <alignment vertical="center"/>
    </xf>
    <xf numFmtId="179" fontId="92" fillId="7" borderId="0" applyNumberFormat="0" applyBorder="0" applyAlignment="0" applyProtection="0">
      <alignment vertical="center"/>
    </xf>
    <xf numFmtId="179" fontId="23" fillId="7" borderId="0" applyNumberFormat="0" applyBorder="0" applyAlignment="0" applyProtection="0">
      <alignment vertical="center"/>
    </xf>
    <xf numFmtId="0" fontId="131" fillId="106" borderId="0" applyNumberFormat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38" fillId="42" borderId="45" applyNumberFormat="0" applyAlignment="0" applyProtection="0"/>
    <xf numFmtId="0" fontId="95" fillId="16" borderId="45" applyNumberFormat="0" applyAlignment="0" applyProtection="0"/>
    <xf numFmtId="179" fontId="52" fillId="39" borderId="45" applyNumberFormat="0" applyAlignment="0" applyProtection="0"/>
    <xf numFmtId="0" fontId="53" fillId="12" borderId="45" applyNumberFormat="0" applyAlignment="0" applyProtection="0"/>
    <xf numFmtId="0" fontId="53" fillId="12" borderId="45" applyNumberFormat="0" applyAlignment="0" applyProtection="0"/>
    <xf numFmtId="0" fontId="53" fillId="12" borderId="45" applyNumberFormat="0" applyAlignment="0" applyProtection="0"/>
    <xf numFmtId="0" fontId="53" fillId="12" borderId="45" applyNumberFormat="0" applyAlignment="0" applyProtection="0"/>
    <xf numFmtId="0" fontId="53" fillId="12" borderId="45" applyNumberFormat="0" applyAlignment="0" applyProtection="0"/>
    <xf numFmtId="179" fontId="27" fillId="38" borderId="46" applyNumberFormat="0" applyFont="0" applyAlignment="0" applyProtection="0"/>
    <xf numFmtId="179" fontId="27" fillId="38" borderId="46" applyNumberFormat="0" applyFont="0" applyAlignment="0" applyProtection="0"/>
    <xf numFmtId="0" fontId="27" fillId="6" borderId="46" applyNumberFormat="0" applyFont="0" applyAlignment="0" applyProtection="0"/>
    <xf numFmtId="179" fontId="57" fillId="42" borderId="47" applyNumberFormat="0" applyAlignment="0" applyProtection="0"/>
    <xf numFmtId="0" fontId="57" fillId="16" borderId="47" applyNumberFormat="0" applyAlignment="0" applyProtection="0"/>
    <xf numFmtId="4" fontId="30" fillId="52" borderId="47" applyNumberFormat="0" applyProtection="0">
      <alignment vertical="center"/>
    </xf>
    <xf numFmtId="4" fontId="60" fillId="52" borderId="47" applyNumberFormat="0" applyProtection="0">
      <alignment vertical="center"/>
    </xf>
    <xf numFmtId="4" fontId="30" fillId="52" borderId="47" applyNumberFormat="0" applyProtection="0">
      <alignment horizontal="left" vertical="center" indent="1"/>
    </xf>
    <xf numFmtId="4" fontId="30" fillId="52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4" fontId="30" fillId="54" borderId="47" applyNumberFormat="0" applyProtection="0">
      <alignment horizontal="right" vertical="center"/>
    </xf>
    <xf numFmtId="4" fontId="30" fillId="55" borderId="47" applyNumberFormat="0" applyProtection="0">
      <alignment horizontal="right" vertical="center"/>
    </xf>
    <xf numFmtId="4" fontId="30" fillId="56" borderId="47" applyNumberFormat="0" applyProtection="0">
      <alignment horizontal="right" vertical="center"/>
    </xf>
    <xf numFmtId="4" fontId="30" fillId="57" borderId="47" applyNumberFormat="0" applyProtection="0">
      <alignment horizontal="right" vertical="center"/>
    </xf>
    <xf numFmtId="4" fontId="30" fillId="58" borderId="47" applyNumberFormat="0" applyProtection="0">
      <alignment horizontal="right" vertical="center"/>
    </xf>
    <xf numFmtId="4" fontId="30" fillId="59" borderId="47" applyNumberFormat="0" applyProtection="0">
      <alignment horizontal="right" vertical="center"/>
    </xf>
    <xf numFmtId="4" fontId="30" fillId="60" borderId="47" applyNumberFormat="0" applyProtection="0">
      <alignment horizontal="right" vertical="center"/>
    </xf>
    <xf numFmtId="4" fontId="30" fillId="61" borderId="47" applyNumberFormat="0" applyProtection="0">
      <alignment horizontal="right" vertical="center"/>
    </xf>
    <xf numFmtId="4" fontId="30" fillId="62" borderId="47" applyNumberFormat="0" applyProtection="0">
      <alignment horizontal="right" vertical="center"/>
    </xf>
    <xf numFmtId="4" fontId="61" fillId="6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4" fontId="30" fillId="64" borderId="47" applyNumberFormat="0" applyProtection="0">
      <alignment horizontal="left" vertical="center" indent="1"/>
    </xf>
    <xf numFmtId="4" fontId="30" fillId="66" borderId="47" applyNumberFormat="0" applyProtection="0">
      <alignment horizontal="left" vertical="center" indent="1"/>
    </xf>
    <xf numFmtId="179" fontId="27" fillId="66" borderId="47" applyNumberFormat="0" applyProtection="0">
      <alignment horizontal="left" vertical="center" indent="1"/>
    </xf>
    <xf numFmtId="179" fontId="27" fillId="66" borderId="47" applyNumberFormat="0" applyProtection="0">
      <alignment horizontal="left" vertical="center" indent="1"/>
    </xf>
    <xf numFmtId="179" fontId="27" fillId="66" borderId="47" applyNumberFormat="0" applyProtection="0">
      <alignment horizontal="left" vertical="center" indent="1"/>
    </xf>
    <xf numFmtId="179" fontId="27" fillId="66" borderId="47" applyNumberFormat="0" applyProtection="0">
      <alignment horizontal="left" vertical="center" indent="1"/>
    </xf>
    <xf numFmtId="179" fontId="27" fillId="67" borderId="47" applyNumberFormat="0" applyProtection="0">
      <alignment horizontal="left" vertical="center" indent="1"/>
    </xf>
    <xf numFmtId="179" fontId="27" fillId="67" borderId="47" applyNumberFormat="0" applyProtection="0">
      <alignment horizontal="left" vertical="center" indent="1"/>
    </xf>
    <xf numFmtId="179" fontId="27" fillId="67" borderId="47" applyNumberFormat="0" applyProtection="0">
      <alignment horizontal="left" vertical="center" indent="1"/>
    </xf>
    <xf numFmtId="179" fontId="27" fillId="67" borderId="47" applyNumberFormat="0" applyProtection="0">
      <alignment horizontal="left" vertical="center" indent="1"/>
    </xf>
    <xf numFmtId="179" fontId="27" fillId="48" borderId="47" applyNumberFormat="0" applyProtection="0">
      <alignment horizontal="left" vertical="center" indent="1"/>
    </xf>
    <xf numFmtId="179" fontId="27" fillId="48" borderId="47" applyNumberFormat="0" applyProtection="0">
      <alignment horizontal="left" vertical="center" indent="1"/>
    </xf>
    <xf numFmtId="179" fontId="27" fillId="48" borderId="47" applyNumberFormat="0" applyProtection="0">
      <alignment horizontal="left" vertical="center" indent="1"/>
    </xf>
    <xf numFmtId="179" fontId="27" fillId="48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3" fillId="0" borderId="0">
      <alignment vertical="center"/>
    </xf>
    <xf numFmtId="179" fontId="63" fillId="13" borderId="48" applyBorder="0"/>
    <xf numFmtId="4" fontId="30" fillId="49" borderId="47" applyNumberFormat="0" applyProtection="0">
      <alignment vertical="center"/>
    </xf>
    <xf numFmtId="4" fontId="60" fillId="49" borderId="47" applyNumberFormat="0" applyProtection="0">
      <alignment vertical="center"/>
    </xf>
    <xf numFmtId="4" fontId="30" fillId="49" borderId="47" applyNumberFormat="0" applyProtection="0">
      <alignment horizontal="left" vertical="center" indent="1"/>
    </xf>
    <xf numFmtId="4" fontId="30" fillId="49" borderId="47" applyNumberFormat="0" applyProtection="0">
      <alignment horizontal="left" vertical="center" indent="1"/>
    </xf>
    <xf numFmtId="4" fontId="30" fillId="64" borderId="47" applyNumberFormat="0" applyProtection="0">
      <alignment horizontal="right" vertical="center"/>
    </xf>
    <xf numFmtId="4" fontId="60" fillId="64" borderId="47" applyNumberFormat="0" applyProtection="0">
      <alignment horizontal="right" vertical="center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179" fontId="27" fillId="53" borderId="47" applyNumberFormat="0" applyProtection="0">
      <alignment horizontal="left" vertical="center" indent="1"/>
    </xf>
    <xf numFmtId="4" fontId="65" fillId="64" borderId="47" applyNumberFormat="0" applyProtection="0">
      <alignment horizontal="right" vertical="center"/>
    </xf>
    <xf numFmtId="179" fontId="44" fillId="0" borderId="49" applyNumberFormat="0" applyFill="0" applyAlignment="0" applyProtection="0"/>
    <xf numFmtId="0" fontId="44" fillId="0" borderId="50" applyNumberFormat="0" applyFill="0" applyAlignment="0" applyProtection="0"/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3" borderId="2" applyNumberFormat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6" borderId="46" applyNumberFormat="0" applyFont="0" applyAlignment="0" applyProtection="0">
      <alignment vertical="center"/>
    </xf>
    <xf numFmtId="179" fontId="3" fillId="6" borderId="46" applyNumberFormat="0" applyFont="0" applyAlignment="0" applyProtection="0">
      <alignment vertical="center"/>
    </xf>
    <xf numFmtId="0" fontId="7" fillId="6" borderId="46" applyNumberFormat="0" applyFont="0" applyAlignment="0" applyProtection="0">
      <alignment vertical="center"/>
    </xf>
    <xf numFmtId="0" fontId="7" fillId="6" borderId="46" applyNumberFormat="0" applyFont="0" applyAlignment="0" applyProtection="0">
      <alignment vertical="center"/>
    </xf>
    <xf numFmtId="179" fontId="7" fillId="6" borderId="46" applyNumberFormat="0" applyFont="0" applyAlignment="0" applyProtection="0">
      <alignment vertical="center"/>
    </xf>
    <xf numFmtId="179" fontId="7" fillId="6" borderId="46" applyNumberFormat="0" applyFont="0" applyAlignment="0" applyProtection="0">
      <alignment vertical="center"/>
    </xf>
    <xf numFmtId="0" fontId="31" fillId="6" borderId="46" applyNumberFormat="0" applyFont="0" applyAlignment="0" applyProtection="0">
      <alignment vertical="center"/>
    </xf>
    <xf numFmtId="179" fontId="31" fillId="6" borderId="46" applyNumberFormat="0" applyFont="0" applyAlignment="0" applyProtection="0">
      <alignment vertical="center"/>
    </xf>
    <xf numFmtId="0" fontId="7" fillId="6" borderId="46" applyNumberFormat="0" applyFont="0" applyAlignment="0" applyProtection="0">
      <alignment vertical="center"/>
    </xf>
    <xf numFmtId="179" fontId="7" fillId="6" borderId="46" applyNumberFormat="0" applyFont="0" applyAlignment="0" applyProtection="0">
      <alignment vertical="center"/>
    </xf>
    <xf numFmtId="179" fontId="3" fillId="6" borderId="46" applyNumberFormat="0" applyFont="0" applyAlignment="0" applyProtection="0">
      <alignment vertical="center"/>
    </xf>
    <xf numFmtId="0" fontId="3" fillId="6" borderId="46" applyNumberFormat="0" applyFont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45" applyNumberFormat="0" applyAlignment="0" applyProtection="0">
      <alignment vertical="center"/>
    </xf>
    <xf numFmtId="179" fontId="14" fillId="16" borderId="45" applyNumberFormat="0" applyAlignment="0" applyProtection="0">
      <alignment vertical="center"/>
    </xf>
    <xf numFmtId="0" fontId="14" fillId="16" borderId="45" applyNumberFormat="0" applyAlignment="0" applyProtection="0">
      <alignment vertical="center"/>
    </xf>
    <xf numFmtId="179" fontId="14" fillId="16" borderId="45" applyNumberFormat="0" applyAlignment="0" applyProtection="0">
      <alignment vertical="center"/>
    </xf>
    <xf numFmtId="0" fontId="80" fillId="16" borderId="45" applyNumberFormat="0" applyAlignment="0" applyProtection="0">
      <alignment vertical="center"/>
    </xf>
    <xf numFmtId="179" fontId="80" fillId="16" borderId="45" applyNumberFormat="0" applyAlignment="0" applyProtection="0">
      <alignment vertical="center"/>
    </xf>
    <xf numFmtId="179" fontId="14" fillId="16" borderId="4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179" fontId="19" fillId="0" borderId="50" applyNumberFormat="0" applyFill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179" fontId="19" fillId="0" borderId="50" applyNumberFormat="0" applyFill="0" applyAlignment="0" applyProtection="0">
      <alignment vertical="center"/>
    </xf>
    <xf numFmtId="0" fontId="85" fillId="0" borderId="50" applyNumberFormat="0" applyFill="0" applyAlignment="0" applyProtection="0">
      <alignment vertical="center"/>
    </xf>
    <xf numFmtId="179" fontId="85" fillId="0" borderId="50" applyNumberFormat="0" applyFill="0" applyAlignment="0" applyProtection="0">
      <alignment vertical="center"/>
    </xf>
    <xf numFmtId="179" fontId="19" fillId="0" borderId="50" applyNumberFormat="0" applyFill="0" applyAlignment="0" applyProtection="0">
      <alignment vertical="center"/>
    </xf>
    <xf numFmtId="0" fontId="20" fillId="16" borderId="47" applyNumberFormat="0" applyAlignment="0" applyProtection="0">
      <alignment vertical="center"/>
    </xf>
    <xf numFmtId="179" fontId="20" fillId="16" borderId="47" applyNumberFormat="0" applyAlignment="0" applyProtection="0">
      <alignment vertical="center"/>
    </xf>
    <xf numFmtId="0" fontId="20" fillId="16" borderId="47" applyNumberFormat="0" applyAlignment="0" applyProtection="0">
      <alignment vertical="center"/>
    </xf>
    <xf numFmtId="179" fontId="20" fillId="16" borderId="47" applyNumberFormat="0" applyAlignment="0" applyProtection="0">
      <alignment vertical="center"/>
    </xf>
    <xf numFmtId="0" fontId="86" fillId="16" borderId="47" applyNumberFormat="0" applyAlignment="0" applyProtection="0">
      <alignment vertical="center"/>
    </xf>
    <xf numFmtId="179" fontId="86" fillId="16" borderId="47" applyNumberFormat="0" applyAlignment="0" applyProtection="0">
      <alignment vertical="center"/>
    </xf>
    <xf numFmtId="179" fontId="20" fillId="16" borderId="47" applyNumberFormat="0" applyAlignment="0" applyProtection="0">
      <alignment vertical="center"/>
    </xf>
    <xf numFmtId="0" fontId="104" fillId="0" borderId="0"/>
    <xf numFmtId="0" fontId="21" fillId="0" borderId="0" applyNumberFormat="0" applyFill="0" applyBorder="0" applyAlignment="0" applyProtection="0">
      <alignment vertical="center"/>
    </xf>
    <xf numFmtId="6" fontId="3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22" fillId="12" borderId="45" applyNumberFormat="0" applyAlignment="0" applyProtection="0">
      <alignment vertical="center"/>
    </xf>
    <xf numFmtId="179" fontId="22" fillId="12" borderId="45" applyNumberFormat="0" applyAlignment="0" applyProtection="0">
      <alignment vertical="center"/>
    </xf>
    <xf numFmtId="0" fontId="22" fillId="12" borderId="45" applyNumberFormat="0" applyAlignment="0" applyProtection="0">
      <alignment vertical="center"/>
    </xf>
    <xf numFmtId="179" fontId="22" fillId="12" borderId="45" applyNumberFormat="0" applyAlignment="0" applyProtection="0">
      <alignment vertical="center"/>
    </xf>
    <xf numFmtId="0" fontId="88" fillId="12" borderId="45" applyNumberFormat="0" applyAlignment="0" applyProtection="0">
      <alignment vertical="center"/>
    </xf>
    <xf numFmtId="179" fontId="88" fillId="12" borderId="45" applyNumberFormat="0" applyAlignment="0" applyProtection="0">
      <alignment vertical="center"/>
    </xf>
    <xf numFmtId="179" fontId="22" fillId="12" borderId="45" applyNumberForma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3" fillId="7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06" fillId="0" borderId="0"/>
    <xf numFmtId="0" fontId="1" fillId="0" borderId="0">
      <alignment vertical="center"/>
    </xf>
    <xf numFmtId="0" fontId="106" fillId="0" borderId="0">
      <alignment vertical="center"/>
    </xf>
    <xf numFmtId="0" fontId="3" fillId="0" borderId="0"/>
    <xf numFmtId="0" fontId="106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33" fillId="0" borderId="0" applyNumberFormat="0" applyFill="0" applyBorder="0" applyAlignment="0" applyProtection="0">
      <alignment vertical="top"/>
      <protection locked="0"/>
    </xf>
  </cellStyleXfs>
  <cellXfs count="172">
    <xf numFmtId="0" fontId="0" fillId="0" borderId="0" xfId="0"/>
    <xf numFmtId="0" fontId="5" fillId="0" borderId="0" xfId="0" applyFont="1"/>
    <xf numFmtId="0" fontId="25" fillId="75" borderId="22" xfId="0" applyFont="1" applyFill="1" applyBorder="1"/>
    <xf numFmtId="14" fontId="5" fillId="0" borderId="22" xfId="0" applyNumberFormat="1" applyFont="1" applyBorder="1"/>
    <xf numFmtId="0" fontId="5" fillId="0" borderId="22" xfId="0" applyFont="1" applyBorder="1"/>
    <xf numFmtId="0" fontId="134" fillId="0" borderId="0" xfId="0" applyFont="1"/>
    <xf numFmtId="0" fontId="135" fillId="110" borderId="74" xfId="0" applyFont="1" applyFill="1" applyBorder="1" applyAlignment="1">
      <alignment horizontal="center" vertical="center" wrapText="1"/>
    </xf>
    <xf numFmtId="0" fontId="136" fillId="110" borderId="76" xfId="0" applyFont="1" applyFill="1" applyBorder="1" applyAlignment="1">
      <alignment horizontal="center" vertical="top" wrapText="1"/>
    </xf>
    <xf numFmtId="0" fontId="136" fillId="110" borderId="76" xfId="0" applyFont="1" applyFill="1" applyBorder="1" applyAlignment="1">
      <alignment horizontal="center" vertical="top" wrapText="1"/>
    </xf>
    <xf numFmtId="0" fontId="136" fillId="110" borderId="78" xfId="0" applyFont="1" applyFill="1" applyBorder="1" applyAlignment="1">
      <alignment horizontal="center" vertical="top" wrapText="1"/>
    </xf>
    <xf numFmtId="0" fontId="135" fillId="110" borderId="75" xfId="0" applyFont="1" applyFill="1" applyBorder="1" applyAlignment="1">
      <alignment horizontal="center" vertical="center" wrapText="1"/>
    </xf>
    <xf numFmtId="0" fontId="136" fillId="110" borderId="77" xfId="0" applyFont="1" applyFill="1" applyBorder="1" applyAlignment="1">
      <alignment horizontal="center" vertical="top" wrapText="1"/>
    </xf>
    <xf numFmtId="0" fontId="136" fillId="110" borderId="77" xfId="0" applyFont="1" applyFill="1" applyBorder="1" applyAlignment="1">
      <alignment horizontal="center" vertical="top" wrapText="1"/>
    </xf>
    <xf numFmtId="0" fontId="136" fillId="110" borderId="79" xfId="0" applyFont="1" applyFill="1" applyBorder="1" applyAlignment="1">
      <alignment horizontal="center" vertical="top" wrapText="1"/>
    </xf>
    <xf numFmtId="0" fontId="135" fillId="110" borderId="85" xfId="0" applyFont="1" applyFill="1" applyBorder="1" applyAlignment="1">
      <alignment horizontal="center" vertical="center"/>
    </xf>
    <xf numFmtId="0" fontId="136" fillId="111" borderId="80" xfId="0" applyFont="1" applyFill="1" applyBorder="1" applyAlignment="1">
      <alignment horizontal="center" vertical="top"/>
    </xf>
    <xf numFmtId="0" fontId="136" fillId="111" borderId="82" xfId="0" applyFont="1" applyFill="1" applyBorder="1" applyAlignment="1">
      <alignment horizontal="center" vertical="top"/>
    </xf>
    <xf numFmtId="0" fontId="135" fillId="110" borderId="81" xfId="0" applyFont="1" applyFill="1" applyBorder="1" applyAlignment="1">
      <alignment horizontal="center" vertical="center"/>
    </xf>
    <xf numFmtId="0" fontId="136" fillId="111" borderId="81" xfId="0" applyFont="1" applyFill="1" applyBorder="1" applyAlignment="1">
      <alignment horizontal="center" vertical="top"/>
    </xf>
    <xf numFmtId="0" fontId="136" fillId="111" borderId="83" xfId="0" applyFont="1" applyFill="1" applyBorder="1" applyAlignment="1">
      <alignment horizontal="center" vertical="top"/>
    </xf>
    <xf numFmtId="0" fontId="135" fillId="110" borderId="84" xfId="0" applyFont="1" applyFill="1" applyBorder="1" applyAlignment="1">
      <alignment horizontal="center" vertical="center" wrapText="1"/>
    </xf>
    <xf numFmtId="0" fontId="136" fillId="0" borderId="84" xfId="0" applyFont="1" applyBorder="1" applyAlignment="1">
      <alignment horizontal="center" vertical="top" wrapText="1"/>
    </xf>
    <xf numFmtId="0" fontId="135" fillId="110" borderId="85" xfId="0" applyFont="1" applyFill="1" applyBorder="1" applyAlignment="1">
      <alignment horizontal="center" vertical="center" wrapText="1"/>
    </xf>
    <xf numFmtId="0" fontId="136" fillId="0" borderId="85" xfId="0" applyFont="1" applyBorder="1" applyAlignment="1">
      <alignment horizontal="center" vertical="center" wrapText="1"/>
    </xf>
    <xf numFmtId="0" fontId="136" fillId="0" borderId="85" xfId="0" applyFont="1" applyBorder="1" applyAlignment="1">
      <alignment horizontal="center" vertical="center" wrapText="1"/>
    </xf>
    <xf numFmtId="0" fontId="135" fillId="110" borderId="86" xfId="0" applyFont="1" applyFill="1" applyBorder="1" applyAlignment="1">
      <alignment horizontal="center" vertical="center" wrapText="1"/>
    </xf>
    <xf numFmtId="0" fontId="136" fillId="0" borderId="86" xfId="0" applyFont="1" applyBorder="1" applyAlignment="1">
      <alignment horizontal="center" vertical="center" wrapText="1"/>
    </xf>
    <xf numFmtId="0" fontId="136" fillId="0" borderId="86" xfId="0" applyFont="1" applyBorder="1" applyAlignment="1">
      <alignment horizontal="center" vertical="center" wrapText="1"/>
    </xf>
    <xf numFmtId="0" fontId="134" fillId="0" borderId="86" xfId="0" applyFont="1" applyBorder="1" applyAlignment="1">
      <alignment horizontal="center" vertical="top" wrapText="1"/>
    </xf>
    <xf numFmtId="0" fontId="135" fillId="110" borderId="81" xfId="0" applyFont="1" applyFill="1" applyBorder="1" applyAlignment="1">
      <alignment horizontal="center" vertical="center" wrapText="1"/>
    </xf>
    <xf numFmtId="0" fontId="136" fillId="0" borderId="81" xfId="0" applyFont="1" applyBorder="1" applyAlignment="1">
      <alignment horizontal="center" vertical="center" wrapText="1"/>
    </xf>
    <xf numFmtId="0" fontId="134" fillId="0" borderId="81" xfId="0" applyFont="1" applyBorder="1" applyAlignment="1">
      <alignment horizontal="center" vertical="top" wrapText="1"/>
    </xf>
    <xf numFmtId="0" fontId="135" fillId="110" borderId="85" xfId="0" applyFont="1" applyFill="1" applyBorder="1" applyAlignment="1">
      <alignment horizontal="center" vertical="center" wrapText="1"/>
    </xf>
    <xf numFmtId="0" fontId="135" fillId="110" borderId="86" xfId="0" applyFont="1" applyFill="1" applyBorder="1" applyAlignment="1">
      <alignment horizontal="center" vertical="center" wrapText="1"/>
    </xf>
    <xf numFmtId="0" fontId="135" fillId="110" borderId="81" xfId="0" applyFont="1" applyFill="1" applyBorder="1" applyAlignment="1">
      <alignment horizontal="center" vertical="center" wrapText="1"/>
    </xf>
    <xf numFmtId="31" fontId="134" fillId="0" borderId="0" xfId="0" applyNumberFormat="1" applyFont="1" applyAlignment="1">
      <alignment horizontal="center"/>
    </xf>
    <xf numFmtId="0" fontId="137" fillId="0" borderId="0" xfId="0" applyFont="1"/>
    <xf numFmtId="0" fontId="139" fillId="0" borderId="0" xfId="985" applyFont="1">
      <alignment vertical="center"/>
    </xf>
    <xf numFmtId="0" fontId="139" fillId="108" borderId="59" xfId="985" applyFont="1" applyFill="1" applyBorder="1" applyAlignment="1">
      <alignment horizontal="left" vertical="center" shrinkToFit="1"/>
    </xf>
    <xf numFmtId="0" fontId="139" fillId="108" borderId="60" xfId="985" applyFont="1" applyFill="1" applyBorder="1" applyAlignment="1">
      <alignment horizontal="left" vertical="center" shrinkToFit="1"/>
    </xf>
    <xf numFmtId="0" fontId="139" fillId="0" borderId="60" xfId="985" applyFont="1" applyBorder="1" applyAlignment="1">
      <alignment horizontal="left" vertical="center"/>
    </xf>
    <xf numFmtId="0" fontId="139" fillId="0" borderId="61" xfId="985" applyFont="1" applyBorder="1" applyAlignment="1">
      <alignment horizontal="left" vertical="center"/>
    </xf>
    <xf numFmtId="0" fontId="139" fillId="108" borderId="62" xfId="985" applyFont="1" applyFill="1" applyBorder="1" applyAlignment="1">
      <alignment vertical="center" shrinkToFit="1"/>
    </xf>
    <xf numFmtId="0" fontId="139" fillId="108" borderId="63" xfId="985" applyFont="1" applyFill="1" applyBorder="1" applyAlignment="1">
      <alignment vertical="center" shrinkToFit="1"/>
    </xf>
    <xf numFmtId="0" fontId="139" fillId="0" borderId="64" xfId="985" applyFont="1" applyBorder="1" applyAlignment="1">
      <alignment horizontal="left" vertical="center"/>
    </xf>
    <xf numFmtId="0" fontId="139" fillId="108" borderId="65" xfId="985" applyFont="1" applyFill="1" applyBorder="1" applyAlignment="1">
      <alignment horizontal="left" vertical="center" shrinkToFit="1"/>
    </xf>
    <xf numFmtId="0" fontId="139" fillId="108" borderId="30" xfId="985" applyFont="1" applyFill="1" applyBorder="1" applyAlignment="1">
      <alignment horizontal="left" vertical="center" shrinkToFit="1"/>
    </xf>
    <xf numFmtId="0" fontId="139" fillId="0" borderId="30" xfId="985" applyFont="1" applyBorder="1" applyAlignment="1">
      <alignment horizontal="left" vertical="center" shrinkToFit="1"/>
    </xf>
    <xf numFmtId="0" fontId="139" fillId="0" borderId="44" xfId="985" applyFont="1" applyBorder="1" applyAlignment="1">
      <alignment horizontal="left" vertical="center" shrinkToFit="1"/>
    </xf>
    <xf numFmtId="0" fontId="139" fillId="108" borderId="32" xfId="985" applyFont="1" applyFill="1" applyBorder="1" applyAlignment="1">
      <alignment vertical="center" shrinkToFit="1"/>
    </xf>
    <xf numFmtId="0" fontId="139" fillId="108" borderId="43" xfId="985" applyFont="1" applyFill="1" applyBorder="1" applyAlignment="1">
      <alignment vertical="center" shrinkToFit="1"/>
    </xf>
    <xf numFmtId="14" fontId="139" fillId="0" borderId="66" xfId="985" applyNumberFormat="1" applyFont="1" applyBorder="1" applyAlignment="1">
      <alignment horizontal="left" vertical="center"/>
    </xf>
    <xf numFmtId="0" fontId="139" fillId="108" borderId="67" xfId="985" applyFont="1" applyFill="1" applyBorder="1" applyAlignment="1">
      <alignment horizontal="left" vertical="center" shrinkToFit="1"/>
    </xf>
    <xf numFmtId="0" fontId="139" fillId="108" borderId="68" xfId="985" applyFont="1" applyFill="1" applyBorder="1" applyAlignment="1">
      <alignment horizontal="left" vertical="center" shrinkToFit="1"/>
    </xf>
    <xf numFmtId="0" fontId="139" fillId="0" borderId="69" xfId="985" applyFont="1" applyBorder="1" applyAlignment="1">
      <alignment horizontal="left" vertical="center"/>
    </xf>
    <xf numFmtId="0" fontId="139" fillId="0" borderId="68" xfId="985" applyFont="1" applyBorder="1" applyAlignment="1">
      <alignment horizontal="left" vertical="center"/>
    </xf>
    <xf numFmtId="0" fontId="139" fillId="0" borderId="68" xfId="985" applyFont="1" applyBorder="1" applyAlignment="1">
      <alignment horizontal="center" vertical="center"/>
    </xf>
    <xf numFmtId="0" fontId="139" fillId="0" borderId="70" xfId="985" applyFont="1" applyBorder="1" applyAlignment="1">
      <alignment horizontal="center" vertical="center"/>
    </xf>
    <xf numFmtId="0" fontId="139" fillId="108" borderId="71" xfId="985" applyFont="1" applyFill="1" applyBorder="1" applyAlignment="1">
      <alignment vertical="center" shrinkToFit="1"/>
    </xf>
    <xf numFmtId="0" fontId="139" fillId="108" borderId="72" xfId="985" applyFont="1" applyFill="1" applyBorder="1" applyAlignment="1">
      <alignment vertical="center" shrinkToFit="1"/>
    </xf>
    <xf numFmtId="0" fontId="139" fillId="0" borderId="73" xfId="985" applyFont="1" applyBorder="1" applyAlignment="1">
      <alignment horizontal="left" vertical="center"/>
    </xf>
    <xf numFmtId="0" fontId="140" fillId="0" borderId="0" xfId="1007" applyFont="1" applyAlignment="1">
      <alignment horizontal="left" vertical="center"/>
    </xf>
    <xf numFmtId="0" fontId="139" fillId="0" borderId="0" xfId="0" applyFont="1" applyAlignment="1">
      <alignment vertical="center"/>
    </xf>
    <xf numFmtId="0" fontId="140" fillId="0" borderId="28" xfId="1007" applyFont="1" applyBorder="1" applyAlignment="1">
      <alignment horizontal="left" vertical="center"/>
    </xf>
    <xf numFmtId="0" fontId="139" fillId="108" borderId="55" xfId="1007" applyFont="1" applyFill="1" applyBorder="1" applyAlignment="1">
      <alignment horizontal="center" vertical="center"/>
    </xf>
    <xf numFmtId="0" fontId="139" fillId="108" borderId="55" xfId="1007" applyFont="1" applyFill="1" applyBorder="1" applyAlignment="1">
      <alignment horizontal="center" vertical="center"/>
    </xf>
    <xf numFmtId="0" fontId="139" fillId="108" borderId="55" xfId="1007" applyFont="1" applyFill="1" applyBorder="1" applyAlignment="1">
      <alignment horizontal="center" vertical="center" wrapText="1"/>
    </xf>
    <xf numFmtId="0" fontId="139" fillId="108" borderId="55" xfId="1007" applyFont="1" applyFill="1" applyBorder="1" applyAlignment="1">
      <alignment horizontal="center" vertical="center" wrapText="1" shrinkToFit="1"/>
    </xf>
    <xf numFmtId="0" fontId="139" fillId="108" borderId="56" xfId="1007" applyFont="1" applyFill="1" applyBorder="1" applyAlignment="1">
      <alignment horizontal="center" vertical="center"/>
    </xf>
    <xf numFmtId="0" fontId="139" fillId="108" borderId="54" xfId="1007" applyFont="1" applyFill="1" applyBorder="1" applyAlignment="1">
      <alignment horizontal="center" vertical="center"/>
    </xf>
    <xf numFmtId="0" fontId="139" fillId="108" borderId="57" xfId="1007" applyFont="1" applyFill="1" applyBorder="1" applyAlignment="1">
      <alignment horizontal="center" vertical="center"/>
    </xf>
    <xf numFmtId="0" fontId="139" fillId="108" borderId="54" xfId="985" applyFont="1" applyFill="1" applyBorder="1">
      <alignment vertical="center"/>
    </xf>
    <xf numFmtId="0" fontId="139" fillId="0" borderId="51" xfId="1007" applyFont="1" applyBorder="1" applyAlignment="1">
      <alignment horizontal="center" vertical="center"/>
    </xf>
    <xf numFmtId="0" fontId="139" fillId="0" borderId="24" xfId="1007" applyFont="1" applyBorder="1" applyAlignment="1">
      <alignment horizontal="left" vertical="center" shrinkToFit="1"/>
    </xf>
    <xf numFmtId="0" fontId="139" fillId="0" borderId="25" xfId="1007" applyFont="1" applyBorder="1" applyAlignment="1">
      <alignment horizontal="left" vertical="center" shrinkToFit="1"/>
    </xf>
    <xf numFmtId="0" fontId="139" fillId="0" borderId="26" xfId="1007" applyFont="1" applyBorder="1" applyAlignment="1">
      <alignment horizontal="left" vertical="center" shrinkToFit="1"/>
    </xf>
    <xf numFmtId="0" fontId="139" fillId="0" borderId="53" xfId="1007" applyFont="1" applyBorder="1" applyAlignment="1">
      <alignment horizontal="center" vertical="center"/>
    </xf>
    <xf numFmtId="0" fontId="139" fillId="0" borderId="53" xfId="1007" applyFont="1" applyBorder="1" applyAlignment="1">
      <alignment horizontal="center" vertical="center" shrinkToFit="1"/>
    </xf>
    <xf numFmtId="0" fontId="139" fillId="0" borderId="53" xfId="1007" applyFont="1" applyBorder="1" applyAlignment="1">
      <alignment horizontal="left" vertical="center"/>
    </xf>
    <xf numFmtId="0" fontId="139" fillId="0" borderId="53" xfId="1007" applyFont="1" applyBorder="1" applyAlignment="1">
      <alignment horizontal="left" vertical="center" wrapText="1"/>
    </xf>
    <xf numFmtId="0" fontId="139" fillId="0" borderId="52" xfId="1007" applyFont="1" applyBorder="1" applyAlignment="1">
      <alignment horizontal="center" vertical="center"/>
    </xf>
    <xf numFmtId="0" fontId="139" fillId="0" borderId="31" xfId="1007" applyFont="1" applyBorder="1" applyAlignment="1">
      <alignment horizontal="left" vertical="center" shrinkToFit="1"/>
    </xf>
    <xf numFmtId="0" fontId="139" fillId="0" borderId="0" xfId="1007" applyFont="1" applyAlignment="1">
      <alignment horizontal="left" vertical="center" shrinkToFit="1"/>
    </xf>
    <xf numFmtId="0" fontId="139" fillId="0" borderId="23" xfId="1007" applyFont="1" applyBorder="1" applyAlignment="1">
      <alignment horizontal="left" vertical="center" shrinkToFit="1"/>
    </xf>
    <xf numFmtId="0" fontId="139" fillId="0" borderId="43" xfId="1007" applyFont="1" applyBorder="1" applyAlignment="1">
      <alignment horizontal="center" vertical="center"/>
    </xf>
    <xf numFmtId="0" fontId="139" fillId="0" borderId="43" xfId="1007" applyFont="1" applyBorder="1" applyAlignment="1">
      <alignment horizontal="center" vertical="center" shrinkToFit="1"/>
    </xf>
    <xf numFmtId="0" fontId="139" fillId="0" borderId="43" xfId="1007" applyFont="1" applyBorder="1" applyAlignment="1">
      <alignment horizontal="left" vertical="center"/>
    </xf>
    <xf numFmtId="0" fontId="139" fillId="0" borderId="43" xfId="1007" applyFont="1" applyBorder="1" applyAlignment="1">
      <alignment horizontal="left" vertical="center" wrapText="1"/>
    </xf>
    <xf numFmtId="0" fontId="139" fillId="0" borderId="53" xfId="1007" applyFont="1" applyBorder="1" applyAlignment="1">
      <alignment horizontal="center" vertical="center"/>
    </xf>
    <xf numFmtId="0" fontId="139" fillId="0" borderId="27" xfId="1007" applyFont="1" applyBorder="1" applyAlignment="1">
      <alignment horizontal="left" vertical="center" shrinkToFit="1"/>
    </xf>
    <xf numFmtId="0" fontId="139" fillId="0" borderId="28" xfId="1007" applyFont="1" applyBorder="1" applyAlignment="1">
      <alignment horizontal="left" vertical="center" shrinkToFit="1"/>
    </xf>
    <xf numFmtId="0" fontId="139" fillId="0" borderId="29" xfId="1007" applyFont="1" applyBorder="1" applyAlignment="1">
      <alignment horizontal="left" vertical="center" shrinkToFit="1"/>
    </xf>
    <xf numFmtId="0" fontId="139" fillId="0" borderId="43" xfId="1007" applyFont="1" applyBorder="1" applyAlignment="1">
      <alignment horizontal="left" vertical="center" shrinkToFit="1"/>
    </xf>
    <xf numFmtId="0" fontId="140" fillId="0" borderId="43" xfId="1007" applyFont="1" applyBorder="1" applyAlignment="1">
      <alignment horizontal="center" vertical="center"/>
    </xf>
    <xf numFmtId="0" fontId="140" fillId="0" borderId="43" xfId="1007" applyFont="1" applyBorder="1" applyAlignment="1">
      <alignment horizontal="left" vertical="center" shrinkToFit="1"/>
    </xf>
    <xf numFmtId="0" fontId="140" fillId="0" borderId="43" xfId="1007" applyFont="1" applyBorder="1" applyAlignment="1">
      <alignment horizontal="center" vertical="center" shrinkToFit="1"/>
    </xf>
    <xf numFmtId="187" fontId="140" fillId="0" borderId="43" xfId="1007" applyNumberFormat="1" applyFont="1" applyBorder="1" applyAlignment="1">
      <alignment horizontal="left" vertical="center"/>
    </xf>
    <xf numFmtId="0" fontId="140" fillId="0" borderId="43" xfId="1007" applyFont="1" applyBorder="1" applyAlignment="1">
      <alignment horizontal="left" vertical="center"/>
    </xf>
    <xf numFmtId="0" fontId="140" fillId="0" borderId="43" xfId="1007" applyFont="1" applyBorder="1" applyAlignment="1">
      <alignment horizontal="left" vertical="center" wrapText="1"/>
    </xf>
    <xf numFmtId="0" fontId="140" fillId="0" borderId="0" xfId="985" applyFont="1">
      <alignment vertical="center"/>
    </xf>
    <xf numFmtId="0" fontId="139" fillId="0" borderId="33" xfId="1007" applyFont="1" applyBorder="1" applyAlignment="1">
      <alignment horizontal="left" vertical="center" shrinkToFit="1"/>
    </xf>
    <xf numFmtId="0" fontId="139" fillId="0" borderId="30" xfId="1007" applyFont="1" applyBorder="1" applyAlignment="1">
      <alignment horizontal="left" vertical="center" shrinkToFit="1"/>
    </xf>
    <xf numFmtId="0" fontId="139" fillId="0" borderId="32" xfId="1007" applyFont="1" applyBorder="1" applyAlignment="1">
      <alignment horizontal="left" vertical="center" shrinkToFit="1"/>
    </xf>
    <xf numFmtId="0" fontId="139" fillId="107" borderId="43" xfId="1007" applyFont="1" applyFill="1" applyBorder="1" applyAlignment="1">
      <alignment horizontal="center" vertical="center"/>
    </xf>
    <xf numFmtId="0" fontId="139" fillId="107" borderId="43" xfId="1007" applyFont="1" applyFill="1" applyBorder="1" applyAlignment="1">
      <alignment horizontal="left" vertical="center" shrinkToFit="1"/>
    </xf>
    <xf numFmtId="0" fontId="139" fillId="107" borderId="43" xfId="1007" applyFont="1" applyFill="1" applyBorder="1" applyAlignment="1">
      <alignment horizontal="center" vertical="center" shrinkToFit="1"/>
    </xf>
    <xf numFmtId="0" fontId="139" fillId="107" borderId="43" xfId="1007" applyFont="1" applyFill="1" applyBorder="1" applyAlignment="1">
      <alignment horizontal="left" vertical="center"/>
    </xf>
    <xf numFmtId="0" fontId="139" fillId="107" borderId="0" xfId="985" applyFont="1" applyFill="1">
      <alignment vertical="center"/>
    </xf>
    <xf numFmtId="0" fontId="139" fillId="0" borderId="51" xfId="1007" applyFont="1" applyBorder="1" applyAlignment="1">
      <alignment horizontal="center" vertical="center"/>
    </xf>
    <xf numFmtId="0" fontId="139" fillId="0" borderId="58" xfId="985" applyFont="1" applyBorder="1" applyAlignment="1">
      <alignment horizontal="left" vertical="center"/>
    </xf>
    <xf numFmtId="0" fontId="139" fillId="0" borderId="25" xfId="985" applyFont="1" applyBorder="1" applyAlignment="1">
      <alignment horizontal="left" vertical="center"/>
    </xf>
    <xf numFmtId="0" fontId="139" fillId="0" borderId="51" xfId="985" applyFont="1" applyBorder="1" applyAlignment="1">
      <alignment horizontal="center" vertical="center"/>
    </xf>
    <xf numFmtId="0" fontId="139" fillId="0" borderId="51" xfId="985" applyFont="1" applyBorder="1" applyAlignment="1">
      <alignment horizontal="center" vertical="center" shrinkToFit="1"/>
    </xf>
    <xf numFmtId="0" fontId="139" fillId="0" borderId="51" xfId="985" applyFont="1" applyBorder="1" applyAlignment="1">
      <alignment vertical="center" wrapText="1"/>
    </xf>
    <xf numFmtId="0" fontId="139" fillId="0" borderId="51" xfId="985" applyFont="1" applyBorder="1">
      <alignment vertical="center"/>
    </xf>
    <xf numFmtId="0" fontId="139" fillId="109" borderId="0" xfId="985" applyFont="1" applyFill="1">
      <alignment vertical="center"/>
    </xf>
    <xf numFmtId="0" fontId="139" fillId="0" borderId="24" xfId="1007" applyFont="1" applyBorder="1" applyAlignment="1">
      <alignment horizontal="left" vertical="center" wrapText="1" shrinkToFit="1"/>
    </xf>
    <xf numFmtId="0" fontId="139" fillId="0" borderId="51" xfId="1007" applyFont="1" applyBorder="1" applyAlignment="1">
      <alignment horizontal="center" vertical="center" shrinkToFit="1"/>
    </xf>
    <xf numFmtId="0" fontId="139" fillId="0" borderId="51" xfId="1007" applyFont="1" applyBorder="1" applyAlignment="1">
      <alignment horizontal="left" vertical="center" shrinkToFit="1"/>
    </xf>
    <xf numFmtId="0" fontId="139" fillId="0" borderId="51" xfId="1007" applyFont="1" applyBorder="1" applyAlignment="1">
      <alignment horizontal="left" vertical="center" wrapText="1"/>
    </xf>
    <xf numFmtId="0" fontId="139" fillId="0" borderId="10" xfId="985" applyFont="1" applyBorder="1">
      <alignment vertical="center"/>
    </xf>
    <xf numFmtId="0" fontId="139" fillId="0" borderId="10" xfId="985" applyFont="1" applyBorder="1" applyAlignment="1">
      <alignment vertical="center" shrinkToFit="1"/>
    </xf>
    <xf numFmtId="0" fontId="139" fillId="0" borderId="10" xfId="985" applyFont="1" applyBorder="1" applyAlignment="1">
      <alignment horizontal="center" vertical="center"/>
    </xf>
    <xf numFmtId="0" fontId="139" fillId="0" borderId="10" xfId="985" applyFont="1" applyBorder="1" applyAlignment="1">
      <alignment horizontal="center" vertical="center" shrinkToFit="1"/>
    </xf>
    <xf numFmtId="0" fontId="139" fillId="0" borderId="0" xfId="985" applyFont="1" applyAlignment="1">
      <alignment vertical="center" shrinkToFit="1"/>
    </xf>
    <xf numFmtId="0" fontId="139" fillId="0" borderId="0" xfId="985" applyFont="1" applyAlignment="1">
      <alignment horizontal="center" vertical="center"/>
    </xf>
    <xf numFmtId="0" fontId="139" fillId="0" borderId="0" xfId="985" applyFont="1" applyAlignment="1">
      <alignment horizontal="center" vertical="center" shrinkToFit="1"/>
    </xf>
    <xf numFmtId="0" fontId="140" fillId="107" borderId="43" xfId="1007" applyFont="1" applyFill="1" applyBorder="1" applyAlignment="1">
      <alignment horizontal="left" vertical="center" shrinkToFit="1"/>
    </xf>
    <xf numFmtId="0" fontId="140" fillId="107" borderId="43" xfId="1007" applyFont="1" applyFill="1" applyBorder="1" applyAlignment="1">
      <alignment horizontal="center" vertical="center"/>
    </xf>
    <xf numFmtId="0" fontId="140" fillId="107" borderId="43" xfId="1007" applyFont="1" applyFill="1" applyBorder="1" applyAlignment="1">
      <alignment horizontal="center" vertical="center" shrinkToFit="1"/>
    </xf>
    <xf numFmtId="49" fontId="141" fillId="107" borderId="30" xfId="0" applyNumberFormat="1" applyFont="1" applyFill="1" applyBorder="1" applyAlignment="1">
      <alignment vertical="center"/>
    </xf>
    <xf numFmtId="0" fontId="140" fillId="107" borderId="43" xfId="1007" applyFont="1" applyFill="1" applyBorder="1" applyAlignment="1">
      <alignment horizontal="left" vertical="center"/>
    </xf>
    <xf numFmtId="0" fontId="140" fillId="107" borderId="43" xfId="1007" applyFont="1" applyFill="1" applyBorder="1" applyAlignment="1">
      <alignment horizontal="left" vertical="center" wrapText="1"/>
    </xf>
    <xf numFmtId="0" fontId="140" fillId="107" borderId="0" xfId="985" applyFont="1" applyFill="1">
      <alignment vertical="center"/>
    </xf>
    <xf numFmtId="0" fontId="139" fillId="107" borderId="43" xfId="1007" applyFont="1" applyFill="1" applyBorder="1" applyAlignment="1">
      <alignment horizontal="left" vertical="center" shrinkToFit="1"/>
    </xf>
    <xf numFmtId="49" fontId="139" fillId="107" borderId="33" xfId="838" applyNumberFormat="1" applyFont="1" applyFill="1" applyBorder="1" applyAlignment="1">
      <alignment horizontal="left" vertical="center"/>
    </xf>
    <xf numFmtId="49" fontId="139" fillId="107" borderId="30" xfId="838" applyNumberFormat="1" applyFont="1" applyFill="1" applyBorder="1" applyAlignment="1">
      <alignment horizontal="left" vertical="center"/>
    </xf>
    <xf numFmtId="49" fontId="139" fillId="107" borderId="30" xfId="0" applyNumberFormat="1" applyFont="1" applyFill="1" applyBorder="1" applyAlignment="1">
      <alignment vertical="center"/>
    </xf>
    <xf numFmtId="49" fontId="139" fillId="107" borderId="33" xfId="0" applyNumberFormat="1" applyFont="1" applyFill="1" applyBorder="1" applyAlignment="1">
      <alignment horizontal="left" vertical="center"/>
    </xf>
    <xf numFmtId="49" fontId="139" fillId="107" borderId="30" xfId="0" applyNumberFormat="1" applyFont="1" applyFill="1" applyBorder="1" applyAlignment="1">
      <alignment vertical="top"/>
    </xf>
    <xf numFmtId="0" fontId="143" fillId="111" borderId="0" xfId="0" applyFont="1" applyFill="1" applyAlignment="1">
      <alignment horizontal="center" vertical="center" wrapText="1"/>
    </xf>
    <xf numFmtId="0" fontId="142" fillId="111" borderId="0" xfId="0" applyFont="1" applyFill="1" applyAlignment="1">
      <alignment vertical="center" wrapText="1"/>
    </xf>
    <xf numFmtId="0" fontId="144" fillId="111" borderId="0" xfId="0" applyFont="1" applyFill="1" applyAlignment="1">
      <alignment vertical="center" wrapText="1"/>
    </xf>
    <xf numFmtId="0" fontId="142" fillId="111" borderId="91" xfId="0" applyFont="1" applyFill="1" applyBorder="1" applyAlignment="1">
      <alignment horizontal="center" vertical="center" wrapText="1"/>
    </xf>
    <xf numFmtId="0" fontId="145" fillId="111" borderId="92" xfId="0" applyFont="1" applyFill="1" applyBorder="1" applyAlignment="1">
      <alignment vertical="center" wrapText="1"/>
    </xf>
    <xf numFmtId="0" fontId="142" fillId="111" borderId="93" xfId="0" applyFont="1" applyFill="1" applyBorder="1" applyAlignment="1">
      <alignment horizontal="center" vertical="center" wrapText="1"/>
    </xf>
    <xf numFmtId="0" fontId="143" fillId="111" borderId="94" xfId="0" applyFont="1" applyFill="1" applyBorder="1" applyAlignment="1">
      <alignment horizontal="center" vertical="center" wrapText="1"/>
    </xf>
    <xf numFmtId="0" fontId="142" fillId="111" borderId="94" xfId="0" applyFont="1" applyFill="1" applyBorder="1" applyAlignment="1">
      <alignment vertical="center" wrapText="1"/>
    </xf>
    <xf numFmtId="0" fontId="144" fillId="111" borderId="94" xfId="0" applyFont="1" applyFill="1" applyBorder="1" applyAlignment="1">
      <alignment vertical="center" wrapText="1"/>
    </xf>
    <xf numFmtId="0" fontId="145" fillId="111" borderId="95" xfId="0" applyFont="1" applyFill="1" applyBorder="1" applyAlignment="1">
      <alignment vertical="center" wrapText="1"/>
    </xf>
    <xf numFmtId="0" fontId="142" fillId="111" borderId="91" xfId="0" applyFont="1" applyFill="1" applyBorder="1" applyAlignment="1">
      <alignment horizontal="center" vertical="center" wrapText="1"/>
    </xf>
    <xf numFmtId="0" fontId="143" fillId="111" borderId="0" xfId="0" applyFont="1" applyFill="1" applyAlignment="1">
      <alignment horizontal="center" vertical="center" wrapText="1"/>
    </xf>
    <xf numFmtId="0" fontId="144" fillId="111" borderId="0" xfId="0" applyFont="1" applyFill="1" applyAlignment="1">
      <alignment vertical="center" wrapText="1"/>
    </xf>
    <xf numFmtId="0" fontId="145" fillId="111" borderId="9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46" fillId="0" borderId="0" xfId="0" applyFont="1" applyAlignment="1">
      <alignment horizontal="center"/>
    </xf>
    <xf numFmtId="0" fontId="146" fillId="0" borderId="0" xfId="0" applyFont="1"/>
    <xf numFmtId="0" fontId="0" fillId="107" borderId="0" xfId="0" applyFill="1"/>
    <xf numFmtId="0" fontId="143" fillId="107" borderId="0" xfId="0" applyFont="1" applyFill="1" applyAlignment="1">
      <alignment horizontal="center" vertical="center" wrapText="1"/>
    </xf>
    <xf numFmtId="0" fontId="143" fillId="107" borderId="0" xfId="0" applyFont="1" applyFill="1" applyAlignment="1">
      <alignment horizontal="center" vertical="center" wrapText="1"/>
    </xf>
    <xf numFmtId="0" fontId="143" fillId="107" borderId="94" xfId="0" applyFont="1" applyFill="1" applyBorder="1" applyAlignment="1">
      <alignment horizontal="center" vertical="center" wrapText="1"/>
    </xf>
    <xf numFmtId="0" fontId="147" fillId="112" borderId="87" xfId="0" applyFont="1" applyFill="1" applyBorder="1" applyAlignment="1">
      <alignment horizontal="center" vertical="center" wrapText="1"/>
    </xf>
    <xf numFmtId="0" fontId="147" fillId="112" borderId="88" xfId="0" applyFont="1" applyFill="1" applyBorder="1" applyAlignment="1">
      <alignment horizontal="center" vertical="center" wrapText="1"/>
    </xf>
    <xf numFmtId="0" fontId="147" fillId="107" borderId="89" xfId="0" applyFont="1" applyFill="1" applyBorder="1" applyAlignment="1">
      <alignment horizontal="center" vertical="center" wrapText="1"/>
    </xf>
    <xf numFmtId="0" fontId="147" fillId="112" borderId="90" xfId="0" applyFont="1" applyFill="1" applyBorder="1" applyAlignment="1">
      <alignment horizontal="center" vertical="center" wrapText="1"/>
    </xf>
    <xf numFmtId="0" fontId="139" fillId="107" borderId="43" xfId="1007" applyFont="1" applyFill="1" applyBorder="1" applyAlignment="1">
      <alignment horizontal="left" vertical="center" wrapText="1"/>
    </xf>
    <xf numFmtId="187" fontId="139" fillId="107" borderId="43" xfId="1007" applyNumberFormat="1" applyFont="1" applyFill="1" applyBorder="1" applyAlignment="1">
      <alignment horizontal="center" vertical="center"/>
    </xf>
    <xf numFmtId="0" fontId="139" fillId="107" borderId="33" xfId="1007" applyFont="1" applyFill="1" applyBorder="1" applyAlignment="1">
      <alignment horizontal="left" vertical="center" shrinkToFit="1"/>
    </xf>
    <xf numFmtId="0" fontId="139" fillId="107" borderId="30" xfId="1007" applyFont="1" applyFill="1" applyBorder="1" applyAlignment="1">
      <alignment horizontal="left" vertical="center" shrinkToFit="1"/>
    </xf>
    <xf numFmtId="0" fontId="139" fillId="107" borderId="32" xfId="1007" applyFont="1" applyFill="1" applyBorder="1" applyAlignment="1">
      <alignment horizontal="left" vertical="center" shrinkToFit="1"/>
    </xf>
    <xf numFmtId="0" fontId="139" fillId="107" borderId="32" xfId="1007" applyFont="1" applyFill="1" applyBorder="1" applyAlignment="1">
      <alignment horizontal="left" vertical="center" shrinkToFit="1"/>
    </xf>
  </cellXfs>
  <cellStyles count="1017">
    <cellStyle name="_x0004_" xfId="1" xr:uid="{00000000-0005-0000-0000-000000000000}"/>
    <cellStyle name="_x000b_" xfId="2" xr:uid="{00000000-0005-0000-0000-000001000000}"/>
    <cellStyle name="??" xfId="3" xr:uid="{00000000-0005-0000-0000-000002000000}"/>
    <cellStyle name="?? [0.00]_1RF-1A" xfId="4" xr:uid="{00000000-0005-0000-0000-000003000000}"/>
    <cellStyle name="???? [0.00]_1RF-1A" xfId="5" xr:uid="{00000000-0005-0000-0000-000004000000}"/>
    <cellStyle name="????_1RF-1A" xfId="6" xr:uid="{00000000-0005-0000-0000-000005000000}"/>
    <cellStyle name="??_1RF-1A" xfId="7" xr:uid="{00000000-0005-0000-0000-000006000000}"/>
    <cellStyle name="20% - Accent1" xfId="8" xr:uid="{00000000-0005-0000-0000-000007000000}"/>
    <cellStyle name="20% - Accent1 2" xfId="9" xr:uid="{00000000-0005-0000-0000-000008000000}"/>
    <cellStyle name="20% - Accent2" xfId="10" xr:uid="{00000000-0005-0000-0000-000009000000}"/>
    <cellStyle name="20% - Accent2 2" xfId="11" xr:uid="{00000000-0005-0000-0000-00000A000000}"/>
    <cellStyle name="20% - Accent3" xfId="12" xr:uid="{00000000-0005-0000-0000-00000B000000}"/>
    <cellStyle name="20% - Accent3 2" xfId="13" xr:uid="{00000000-0005-0000-0000-00000C000000}"/>
    <cellStyle name="20% - Accent4" xfId="14" xr:uid="{00000000-0005-0000-0000-00000D000000}"/>
    <cellStyle name="20% - Accent4 2" xfId="15" xr:uid="{00000000-0005-0000-0000-00000E000000}"/>
    <cellStyle name="20% - Accent5" xfId="16" xr:uid="{00000000-0005-0000-0000-00000F000000}"/>
    <cellStyle name="20% - Accent5 2" xfId="17" xr:uid="{00000000-0005-0000-0000-000010000000}"/>
    <cellStyle name="20% - Accent6" xfId="18" xr:uid="{00000000-0005-0000-0000-000011000000}"/>
    <cellStyle name="20% - Accent6 2" xfId="19" xr:uid="{00000000-0005-0000-0000-000012000000}"/>
    <cellStyle name="20% - アクセント 1" xfId="20" builtinId="30" customBuiltin="1"/>
    <cellStyle name="20% - アクセント 1 2" xfId="21" xr:uid="{00000000-0005-0000-0000-000014000000}"/>
    <cellStyle name="20% - アクセント 1 3" xfId="22" xr:uid="{00000000-0005-0000-0000-000015000000}"/>
    <cellStyle name="20% - アクセント 1 3 2" xfId="23" xr:uid="{00000000-0005-0000-0000-000016000000}"/>
    <cellStyle name="20% - アクセント 1 3 2 2" xfId="24" xr:uid="{00000000-0005-0000-0000-000017000000}"/>
    <cellStyle name="20% - アクセント 1 3 2_委託先仕様書（CAT）（タナックス希望）" xfId="25" xr:uid="{00000000-0005-0000-0000-000018000000}"/>
    <cellStyle name="20% - アクセント 1 3 3" xfId="26" xr:uid="{00000000-0005-0000-0000-000019000000}"/>
    <cellStyle name="20% - アクセント 1 3_委託先仕様書（CAT）（タナックス希望）" xfId="27" xr:uid="{00000000-0005-0000-0000-00001A000000}"/>
    <cellStyle name="20% - アクセント 1 4" xfId="28" xr:uid="{00000000-0005-0000-0000-00001B000000}"/>
    <cellStyle name="20% - アクセント 1 4 2" xfId="29" xr:uid="{00000000-0005-0000-0000-00001C000000}"/>
    <cellStyle name="20% - アクセント 1 5" xfId="30" xr:uid="{00000000-0005-0000-0000-00001D000000}"/>
    <cellStyle name="20% - アクセント 1 5 2" xfId="31" xr:uid="{00000000-0005-0000-0000-00001E000000}"/>
    <cellStyle name="20% - アクセント 1 5_委託先仕様書（CAT）（タナックス希望）" xfId="32" xr:uid="{00000000-0005-0000-0000-00001F000000}"/>
    <cellStyle name="20% - アクセント 1 6" xfId="33" xr:uid="{00000000-0005-0000-0000-000020000000}"/>
    <cellStyle name="20% - アクセント 1 7" xfId="34" xr:uid="{00000000-0005-0000-0000-000021000000}"/>
    <cellStyle name="20% - アクセント 1 8" xfId="841" xr:uid="{00000000-0005-0000-0000-000022000000}"/>
    <cellStyle name="20% - アクセント 2" xfId="35" builtinId="34" customBuiltin="1"/>
    <cellStyle name="20% - アクセント 2 2" xfId="36" xr:uid="{00000000-0005-0000-0000-000024000000}"/>
    <cellStyle name="20% - アクセント 2 3" xfId="37" xr:uid="{00000000-0005-0000-0000-000025000000}"/>
    <cellStyle name="20% - アクセント 2 3 2" xfId="38" xr:uid="{00000000-0005-0000-0000-000026000000}"/>
    <cellStyle name="20% - アクセント 2 3 2 2" xfId="39" xr:uid="{00000000-0005-0000-0000-000027000000}"/>
    <cellStyle name="20% - アクセント 2 3 2_委託先仕様書（CAT）（タナックス希望）" xfId="40" xr:uid="{00000000-0005-0000-0000-000028000000}"/>
    <cellStyle name="20% - アクセント 2 3 3" xfId="41" xr:uid="{00000000-0005-0000-0000-000029000000}"/>
    <cellStyle name="20% - アクセント 2 3_委託先仕様書（CAT）（タナックス希望）" xfId="42" xr:uid="{00000000-0005-0000-0000-00002A000000}"/>
    <cellStyle name="20% - アクセント 2 4" xfId="43" xr:uid="{00000000-0005-0000-0000-00002B000000}"/>
    <cellStyle name="20% - アクセント 2 4 2" xfId="44" xr:uid="{00000000-0005-0000-0000-00002C000000}"/>
    <cellStyle name="20% - アクセント 2 5" xfId="45" xr:uid="{00000000-0005-0000-0000-00002D000000}"/>
    <cellStyle name="20% - アクセント 2 5 2" xfId="46" xr:uid="{00000000-0005-0000-0000-00002E000000}"/>
    <cellStyle name="20% - アクセント 2 5_委託先仕様書（CAT）（タナックス希望）" xfId="47" xr:uid="{00000000-0005-0000-0000-00002F000000}"/>
    <cellStyle name="20% - アクセント 2 6" xfId="48" xr:uid="{00000000-0005-0000-0000-000030000000}"/>
    <cellStyle name="20% - アクセント 2 7" xfId="49" xr:uid="{00000000-0005-0000-0000-000031000000}"/>
    <cellStyle name="20% - アクセント 2 8" xfId="842" xr:uid="{00000000-0005-0000-0000-000032000000}"/>
    <cellStyle name="20% - アクセント 3" xfId="50" builtinId="38" customBuiltin="1"/>
    <cellStyle name="20% - アクセント 3 2" xfId="51" xr:uid="{00000000-0005-0000-0000-000034000000}"/>
    <cellStyle name="20% - アクセント 3 3" xfId="52" xr:uid="{00000000-0005-0000-0000-000035000000}"/>
    <cellStyle name="20% - アクセント 3 3 2" xfId="53" xr:uid="{00000000-0005-0000-0000-000036000000}"/>
    <cellStyle name="20% - アクセント 3 3 2 2" xfId="54" xr:uid="{00000000-0005-0000-0000-000037000000}"/>
    <cellStyle name="20% - アクセント 3 3 2_委託先仕様書（CAT）（タナックス希望）" xfId="55" xr:uid="{00000000-0005-0000-0000-000038000000}"/>
    <cellStyle name="20% - アクセント 3 3 3" xfId="56" xr:uid="{00000000-0005-0000-0000-000039000000}"/>
    <cellStyle name="20% - アクセント 3 3_委託先仕様書（CAT）（タナックス希望）" xfId="57" xr:uid="{00000000-0005-0000-0000-00003A000000}"/>
    <cellStyle name="20% - アクセント 3 4" xfId="58" xr:uid="{00000000-0005-0000-0000-00003B000000}"/>
    <cellStyle name="20% - アクセント 3 4 2" xfId="59" xr:uid="{00000000-0005-0000-0000-00003C000000}"/>
    <cellStyle name="20% - アクセント 3 5" xfId="60" xr:uid="{00000000-0005-0000-0000-00003D000000}"/>
    <cellStyle name="20% - アクセント 3 5 2" xfId="61" xr:uid="{00000000-0005-0000-0000-00003E000000}"/>
    <cellStyle name="20% - アクセント 3 5_委託先仕様書（CAT）（タナックス希望）" xfId="62" xr:uid="{00000000-0005-0000-0000-00003F000000}"/>
    <cellStyle name="20% - アクセント 3 6" xfId="63" xr:uid="{00000000-0005-0000-0000-000040000000}"/>
    <cellStyle name="20% - アクセント 3 7" xfId="64" xr:uid="{00000000-0005-0000-0000-000041000000}"/>
    <cellStyle name="20% - アクセント 3 8" xfId="843" xr:uid="{00000000-0005-0000-0000-000042000000}"/>
    <cellStyle name="20% - アクセント 4" xfId="65" builtinId="42" customBuiltin="1"/>
    <cellStyle name="20% - アクセント 4 2" xfId="66" xr:uid="{00000000-0005-0000-0000-000044000000}"/>
    <cellStyle name="20% - アクセント 4 3" xfId="67" xr:uid="{00000000-0005-0000-0000-000045000000}"/>
    <cellStyle name="20% - アクセント 4 3 2" xfId="68" xr:uid="{00000000-0005-0000-0000-000046000000}"/>
    <cellStyle name="20% - アクセント 4 3 2 2" xfId="69" xr:uid="{00000000-0005-0000-0000-000047000000}"/>
    <cellStyle name="20% - アクセント 4 3 2_委託先仕様書（CAT）（タナックス希望）" xfId="70" xr:uid="{00000000-0005-0000-0000-000048000000}"/>
    <cellStyle name="20% - アクセント 4 3 3" xfId="71" xr:uid="{00000000-0005-0000-0000-000049000000}"/>
    <cellStyle name="20% - アクセント 4 3_委託先仕様書（CAT）（タナックス希望）" xfId="72" xr:uid="{00000000-0005-0000-0000-00004A000000}"/>
    <cellStyle name="20% - アクセント 4 4" xfId="73" xr:uid="{00000000-0005-0000-0000-00004B000000}"/>
    <cellStyle name="20% - アクセント 4 4 2" xfId="74" xr:uid="{00000000-0005-0000-0000-00004C000000}"/>
    <cellStyle name="20% - アクセント 4 5" xfId="75" xr:uid="{00000000-0005-0000-0000-00004D000000}"/>
    <cellStyle name="20% - アクセント 4 5 2" xfId="76" xr:uid="{00000000-0005-0000-0000-00004E000000}"/>
    <cellStyle name="20% - アクセント 4 5_委託先仕様書（CAT）（タナックス希望）" xfId="77" xr:uid="{00000000-0005-0000-0000-00004F000000}"/>
    <cellStyle name="20% - アクセント 4 6" xfId="78" xr:uid="{00000000-0005-0000-0000-000050000000}"/>
    <cellStyle name="20% - アクセント 4 7" xfId="79" xr:uid="{00000000-0005-0000-0000-000051000000}"/>
    <cellStyle name="20% - アクセント 4 8" xfId="844" xr:uid="{00000000-0005-0000-0000-000052000000}"/>
    <cellStyle name="20% - アクセント 5" xfId="80" builtinId="46" customBuiltin="1"/>
    <cellStyle name="20% - アクセント 5 2" xfId="81" xr:uid="{00000000-0005-0000-0000-000054000000}"/>
    <cellStyle name="20% - アクセント 5 3" xfId="82" xr:uid="{00000000-0005-0000-0000-000055000000}"/>
    <cellStyle name="20% - アクセント 5 3 2" xfId="83" xr:uid="{00000000-0005-0000-0000-000056000000}"/>
    <cellStyle name="20% - アクセント 5 3 2 2" xfId="84" xr:uid="{00000000-0005-0000-0000-000057000000}"/>
    <cellStyle name="20% - アクセント 5 3 2_委託先仕様書（CAT）（タナックス希望）" xfId="85" xr:uid="{00000000-0005-0000-0000-000058000000}"/>
    <cellStyle name="20% - アクセント 5 3 3" xfId="86" xr:uid="{00000000-0005-0000-0000-000059000000}"/>
    <cellStyle name="20% - アクセント 5 3_委託先仕様書（CAT）（タナックス希望）" xfId="87" xr:uid="{00000000-0005-0000-0000-00005A000000}"/>
    <cellStyle name="20% - アクセント 5 4" xfId="88" xr:uid="{00000000-0005-0000-0000-00005B000000}"/>
    <cellStyle name="20% - アクセント 5 4 2" xfId="89" xr:uid="{00000000-0005-0000-0000-00005C000000}"/>
    <cellStyle name="20% - アクセント 5 5" xfId="90" xr:uid="{00000000-0005-0000-0000-00005D000000}"/>
    <cellStyle name="20% - アクセント 5 5 2" xfId="91" xr:uid="{00000000-0005-0000-0000-00005E000000}"/>
    <cellStyle name="20% - アクセント 5 5_委託先仕様書（CAT）（タナックス希望）" xfId="92" xr:uid="{00000000-0005-0000-0000-00005F000000}"/>
    <cellStyle name="20% - アクセント 5 6" xfId="93" xr:uid="{00000000-0005-0000-0000-000060000000}"/>
    <cellStyle name="20% - アクセント 5 7" xfId="94" xr:uid="{00000000-0005-0000-0000-000061000000}"/>
    <cellStyle name="20% - アクセント 5 8" xfId="845" xr:uid="{00000000-0005-0000-0000-000062000000}"/>
    <cellStyle name="20% - アクセント 6" xfId="95" builtinId="50" customBuiltin="1"/>
    <cellStyle name="20% - アクセント 6 2" xfId="96" xr:uid="{00000000-0005-0000-0000-000064000000}"/>
    <cellStyle name="20% - アクセント 6 3" xfId="97" xr:uid="{00000000-0005-0000-0000-000065000000}"/>
    <cellStyle name="20% - アクセント 6 3 2" xfId="98" xr:uid="{00000000-0005-0000-0000-000066000000}"/>
    <cellStyle name="20% - アクセント 6 3 2 2" xfId="99" xr:uid="{00000000-0005-0000-0000-000067000000}"/>
    <cellStyle name="20% - アクセント 6 3 2_委託先仕様書（CAT）（タナックス希望）" xfId="100" xr:uid="{00000000-0005-0000-0000-000068000000}"/>
    <cellStyle name="20% - アクセント 6 3 3" xfId="101" xr:uid="{00000000-0005-0000-0000-000069000000}"/>
    <cellStyle name="20% - アクセント 6 3_委託先仕様書（CAT）（タナックス希望）" xfId="102" xr:uid="{00000000-0005-0000-0000-00006A000000}"/>
    <cellStyle name="20% - アクセント 6 4" xfId="103" xr:uid="{00000000-0005-0000-0000-00006B000000}"/>
    <cellStyle name="20% - アクセント 6 4 2" xfId="104" xr:uid="{00000000-0005-0000-0000-00006C000000}"/>
    <cellStyle name="20% - アクセント 6 5" xfId="105" xr:uid="{00000000-0005-0000-0000-00006D000000}"/>
    <cellStyle name="20% - アクセント 6 5 2" xfId="106" xr:uid="{00000000-0005-0000-0000-00006E000000}"/>
    <cellStyle name="20% - アクセント 6 5_委託先仕様書（CAT）（タナックス希望）" xfId="107" xr:uid="{00000000-0005-0000-0000-00006F000000}"/>
    <cellStyle name="20% - アクセント 6 6" xfId="108" xr:uid="{00000000-0005-0000-0000-000070000000}"/>
    <cellStyle name="20% - アクセント 6 7" xfId="109" xr:uid="{00000000-0005-0000-0000-000071000000}"/>
    <cellStyle name="20% - アクセント 6 8" xfId="846" xr:uid="{00000000-0005-0000-0000-000072000000}"/>
    <cellStyle name="40% - Accent1" xfId="110" xr:uid="{00000000-0005-0000-0000-000073000000}"/>
    <cellStyle name="40% - Accent1 2" xfId="111" xr:uid="{00000000-0005-0000-0000-000074000000}"/>
    <cellStyle name="40% - Accent2" xfId="112" xr:uid="{00000000-0005-0000-0000-000075000000}"/>
    <cellStyle name="40% - Accent2 2" xfId="113" xr:uid="{00000000-0005-0000-0000-000076000000}"/>
    <cellStyle name="40% - Accent3" xfId="114" xr:uid="{00000000-0005-0000-0000-000077000000}"/>
    <cellStyle name="40% - Accent3 2" xfId="115" xr:uid="{00000000-0005-0000-0000-000078000000}"/>
    <cellStyle name="40% - Accent4" xfId="116" xr:uid="{00000000-0005-0000-0000-000079000000}"/>
    <cellStyle name="40% - Accent4 2" xfId="117" xr:uid="{00000000-0005-0000-0000-00007A000000}"/>
    <cellStyle name="40% - Accent5" xfId="118" xr:uid="{00000000-0005-0000-0000-00007B000000}"/>
    <cellStyle name="40% - Accent5 2" xfId="119" xr:uid="{00000000-0005-0000-0000-00007C000000}"/>
    <cellStyle name="40% - Accent6" xfId="120" xr:uid="{00000000-0005-0000-0000-00007D000000}"/>
    <cellStyle name="40% - Accent6 2" xfId="121" xr:uid="{00000000-0005-0000-0000-00007E000000}"/>
    <cellStyle name="40% - アクセント 1" xfId="122" builtinId="31" customBuiltin="1"/>
    <cellStyle name="40% - アクセント 1 2" xfId="123" xr:uid="{00000000-0005-0000-0000-000080000000}"/>
    <cellStyle name="40% - アクセント 1 3" xfId="124" xr:uid="{00000000-0005-0000-0000-000081000000}"/>
    <cellStyle name="40% - アクセント 1 3 2" xfId="125" xr:uid="{00000000-0005-0000-0000-000082000000}"/>
    <cellStyle name="40% - アクセント 1 3 2 2" xfId="126" xr:uid="{00000000-0005-0000-0000-000083000000}"/>
    <cellStyle name="40% - アクセント 1 3 2_委託先仕様書（CAT）（タナックス希望）" xfId="127" xr:uid="{00000000-0005-0000-0000-000084000000}"/>
    <cellStyle name="40% - アクセント 1 3 3" xfId="128" xr:uid="{00000000-0005-0000-0000-000085000000}"/>
    <cellStyle name="40% - アクセント 1 3_委託先仕様書（CAT）（タナックス希望）" xfId="129" xr:uid="{00000000-0005-0000-0000-000086000000}"/>
    <cellStyle name="40% - アクセント 1 4" xfId="130" xr:uid="{00000000-0005-0000-0000-000087000000}"/>
    <cellStyle name="40% - アクセント 1 4 2" xfId="131" xr:uid="{00000000-0005-0000-0000-000088000000}"/>
    <cellStyle name="40% - アクセント 1 5" xfId="132" xr:uid="{00000000-0005-0000-0000-000089000000}"/>
    <cellStyle name="40% - アクセント 1 5 2" xfId="133" xr:uid="{00000000-0005-0000-0000-00008A000000}"/>
    <cellStyle name="40% - アクセント 1 5_委託先仕様書（CAT）（タナックス希望）" xfId="134" xr:uid="{00000000-0005-0000-0000-00008B000000}"/>
    <cellStyle name="40% - アクセント 1 6" xfId="135" xr:uid="{00000000-0005-0000-0000-00008C000000}"/>
    <cellStyle name="40% - アクセント 1 7" xfId="136" xr:uid="{00000000-0005-0000-0000-00008D000000}"/>
    <cellStyle name="40% - アクセント 1 8" xfId="847" xr:uid="{00000000-0005-0000-0000-00008E000000}"/>
    <cellStyle name="40% - アクセント 2" xfId="137" builtinId="35" customBuiltin="1"/>
    <cellStyle name="40% - アクセント 2 2" xfId="138" xr:uid="{00000000-0005-0000-0000-000090000000}"/>
    <cellStyle name="40% - アクセント 2 3" xfId="139" xr:uid="{00000000-0005-0000-0000-000091000000}"/>
    <cellStyle name="40% - アクセント 2 3 2" xfId="140" xr:uid="{00000000-0005-0000-0000-000092000000}"/>
    <cellStyle name="40% - アクセント 2 3 2 2" xfId="141" xr:uid="{00000000-0005-0000-0000-000093000000}"/>
    <cellStyle name="40% - アクセント 2 3 2_委託先仕様書（CAT）（タナックス希望）" xfId="142" xr:uid="{00000000-0005-0000-0000-000094000000}"/>
    <cellStyle name="40% - アクセント 2 3 3" xfId="143" xr:uid="{00000000-0005-0000-0000-000095000000}"/>
    <cellStyle name="40% - アクセント 2 3_委託先仕様書（CAT）（タナックス希望）" xfId="144" xr:uid="{00000000-0005-0000-0000-000096000000}"/>
    <cellStyle name="40% - アクセント 2 4" xfId="145" xr:uid="{00000000-0005-0000-0000-000097000000}"/>
    <cellStyle name="40% - アクセント 2 4 2" xfId="146" xr:uid="{00000000-0005-0000-0000-000098000000}"/>
    <cellStyle name="40% - アクセント 2 5" xfId="147" xr:uid="{00000000-0005-0000-0000-000099000000}"/>
    <cellStyle name="40% - アクセント 2 5 2" xfId="148" xr:uid="{00000000-0005-0000-0000-00009A000000}"/>
    <cellStyle name="40% - アクセント 2 5_委託先仕様書（CAT）（タナックス希望）" xfId="149" xr:uid="{00000000-0005-0000-0000-00009B000000}"/>
    <cellStyle name="40% - アクセント 2 6" xfId="150" xr:uid="{00000000-0005-0000-0000-00009C000000}"/>
    <cellStyle name="40% - アクセント 2 7" xfId="151" xr:uid="{00000000-0005-0000-0000-00009D000000}"/>
    <cellStyle name="40% - アクセント 2 8" xfId="848" xr:uid="{00000000-0005-0000-0000-00009E000000}"/>
    <cellStyle name="40% - アクセント 3" xfId="152" builtinId="39" customBuiltin="1"/>
    <cellStyle name="40% - アクセント 3 2" xfId="153" xr:uid="{00000000-0005-0000-0000-0000A0000000}"/>
    <cellStyle name="40% - アクセント 3 3" xfId="154" xr:uid="{00000000-0005-0000-0000-0000A1000000}"/>
    <cellStyle name="40% - アクセント 3 3 2" xfId="155" xr:uid="{00000000-0005-0000-0000-0000A2000000}"/>
    <cellStyle name="40% - アクセント 3 3 2 2" xfId="156" xr:uid="{00000000-0005-0000-0000-0000A3000000}"/>
    <cellStyle name="40% - アクセント 3 3 2_委託先仕様書（CAT）（タナックス希望）" xfId="157" xr:uid="{00000000-0005-0000-0000-0000A4000000}"/>
    <cellStyle name="40% - アクセント 3 3 3" xfId="158" xr:uid="{00000000-0005-0000-0000-0000A5000000}"/>
    <cellStyle name="40% - アクセント 3 3_委託先仕様書（CAT）（タナックス希望）" xfId="159" xr:uid="{00000000-0005-0000-0000-0000A6000000}"/>
    <cellStyle name="40% - アクセント 3 4" xfId="160" xr:uid="{00000000-0005-0000-0000-0000A7000000}"/>
    <cellStyle name="40% - アクセント 3 4 2" xfId="161" xr:uid="{00000000-0005-0000-0000-0000A8000000}"/>
    <cellStyle name="40% - アクセント 3 5" xfId="162" xr:uid="{00000000-0005-0000-0000-0000A9000000}"/>
    <cellStyle name="40% - アクセント 3 5 2" xfId="163" xr:uid="{00000000-0005-0000-0000-0000AA000000}"/>
    <cellStyle name="40% - アクセント 3 5_委託先仕様書（CAT）（タナックス希望）" xfId="164" xr:uid="{00000000-0005-0000-0000-0000AB000000}"/>
    <cellStyle name="40% - アクセント 3 6" xfId="165" xr:uid="{00000000-0005-0000-0000-0000AC000000}"/>
    <cellStyle name="40% - アクセント 3 7" xfId="166" xr:uid="{00000000-0005-0000-0000-0000AD000000}"/>
    <cellStyle name="40% - アクセント 3 8" xfId="849" xr:uid="{00000000-0005-0000-0000-0000AE000000}"/>
    <cellStyle name="40% - アクセント 4" xfId="167" builtinId="43" customBuiltin="1"/>
    <cellStyle name="40% - アクセント 4 2" xfId="168" xr:uid="{00000000-0005-0000-0000-0000B0000000}"/>
    <cellStyle name="40% - アクセント 4 3" xfId="169" xr:uid="{00000000-0005-0000-0000-0000B1000000}"/>
    <cellStyle name="40% - アクセント 4 3 2" xfId="170" xr:uid="{00000000-0005-0000-0000-0000B2000000}"/>
    <cellStyle name="40% - アクセント 4 3 2 2" xfId="171" xr:uid="{00000000-0005-0000-0000-0000B3000000}"/>
    <cellStyle name="40% - アクセント 4 3 2_委託先仕様書（CAT）（タナックス希望）" xfId="172" xr:uid="{00000000-0005-0000-0000-0000B4000000}"/>
    <cellStyle name="40% - アクセント 4 3 3" xfId="173" xr:uid="{00000000-0005-0000-0000-0000B5000000}"/>
    <cellStyle name="40% - アクセント 4 3_委託先仕様書（CAT）（タナックス希望）" xfId="174" xr:uid="{00000000-0005-0000-0000-0000B6000000}"/>
    <cellStyle name="40% - アクセント 4 4" xfId="175" xr:uid="{00000000-0005-0000-0000-0000B7000000}"/>
    <cellStyle name="40% - アクセント 4 4 2" xfId="176" xr:uid="{00000000-0005-0000-0000-0000B8000000}"/>
    <cellStyle name="40% - アクセント 4 5" xfId="177" xr:uid="{00000000-0005-0000-0000-0000B9000000}"/>
    <cellStyle name="40% - アクセント 4 5 2" xfId="178" xr:uid="{00000000-0005-0000-0000-0000BA000000}"/>
    <cellStyle name="40% - アクセント 4 5_委託先仕様書（CAT）（タナックス希望）" xfId="179" xr:uid="{00000000-0005-0000-0000-0000BB000000}"/>
    <cellStyle name="40% - アクセント 4 6" xfId="180" xr:uid="{00000000-0005-0000-0000-0000BC000000}"/>
    <cellStyle name="40% - アクセント 4 7" xfId="181" xr:uid="{00000000-0005-0000-0000-0000BD000000}"/>
    <cellStyle name="40% - アクセント 4 8" xfId="850" xr:uid="{00000000-0005-0000-0000-0000BE000000}"/>
    <cellStyle name="40% - アクセント 5" xfId="182" builtinId="47" customBuiltin="1"/>
    <cellStyle name="40% - アクセント 5 2" xfId="183" xr:uid="{00000000-0005-0000-0000-0000C0000000}"/>
    <cellStyle name="40% - アクセント 5 3" xfId="184" xr:uid="{00000000-0005-0000-0000-0000C1000000}"/>
    <cellStyle name="40% - アクセント 5 3 2" xfId="185" xr:uid="{00000000-0005-0000-0000-0000C2000000}"/>
    <cellStyle name="40% - アクセント 5 3 2 2" xfId="186" xr:uid="{00000000-0005-0000-0000-0000C3000000}"/>
    <cellStyle name="40% - アクセント 5 3 2_委託先仕様書（CAT）（タナックス希望）" xfId="187" xr:uid="{00000000-0005-0000-0000-0000C4000000}"/>
    <cellStyle name="40% - アクセント 5 3 3" xfId="188" xr:uid="{00000000-0005-0000-0000-0000C5000000}"/>
    <cellStyle name="40% - アクセント 5 3_委託先仕様書（CAT）（タナックス希望）" xfId="189" xr:uid="{00000000-0005-0000-0000-0000C6000000}"/>
    <cellStyle name="40% - アクセント 5 4" xfId="190" xr:uid="{00000000-0005-0000-0000-0000C7000000}"/>
    <cellStyle name="40% - アクセント 5 4 2" xfId="191" xr:uid="{00000000-0005-0000-0000-0000C8000000}"/>
    <cellStyle name="40% - アクセント 5 5" xfId="192" xr:uid="{00000000-0005-0000-0000-0000C9000000}"/>
    <cellStyle name="40% - アクセント 5 5 2" xfId="193" xr:uid="{00000000-0005-0000-0000-0000CA000000}"/>
    <cellStyle name="40% - アクセント 5 5_委託先仕様書（CAT）（タナックス希望）" xfId="194" xr:uid="{00000000-0005-0000-0000-0000CB000000}"/>
    <cellStyle name="40% - アクセント 5 6" xfId="195" xr:uid="{00000000-0005-0000-0000-0000CC000000}"/>
    <cellStyle name="40% - アクセント 5 7" xfId="196" xr:uid="{00000000-0005-0000-0000-0000CD000000}"/>
    <cellStyle name="40% - アクセント 5 8" xfId="851" xr:uid="{00000000-0005-0000-0000-0000CE000000}"/>
    <cellStyle name="40% - アクセント 6" xfId="197" builtinId="51" customBuiltin="1"/>
    <cellStyle name="40% - アクセント 6 2" xfId="198" xr:uid="{00000000-0005-0000-0000-0000D0000000}"/>
    <cellStyle name="40% - アクセント 6 3" xfId="199" xr:uid="{00000000-0005-0000-0000-0000D1000000}"/>
    <cellStyle name="40% - アクセント 6 3 2" xfId="200" xr:uid="{00000000-0005-0000-0000-0000D2000000}"/>
    <cellStyle name="40% - アクセント 6 3 2 2" xfId="201" xr:uid="{00000000-0005-0000-0000-0000D3000000}"/>
    <cellStyle name="40% - アクセント 6 3 2_委託先仕様書（CAT）（タナックス希望）" xfId="202" xr:uid="{00000000-0005-0000-0000-0000D4000000}"/>
    <cellStyle name="40% - アクセント 6 3 3" xfId="203" xr:uid="{00000000-0005-0000-0000-0000D5000000}"/>
    <cellStyle name="40% - アクセント 6 3_委託先仕様書（CAT）（タナックス希望）" xfId="204" xr:uid="{00000000-0005-0000-0000-0000D6000000}"/>
    <cellStyle name="40% - アクセント 6 4" xfId="205" xr:uid="{00000000-0005-0000-0000-0000D7000000}"/>
    <cellStyle name="40% - アクセント 6 4 2" xfId="206" xr:uid="{00000000-0005-0000-0000-0000D8000000}"/>
    <cellStyle name="40% - アクセント 6 5" xfId="207" xr:uid="{00000000-0005-0000-0000-0000D9000000}"/>
    <cellStyle name="40% - アクセント 6 5 2" xfId="208" xr:uid="{00000000-0005-0000-0000-0000DA000000}"/>
    <cellStyle name="40% - アクセント 6 5_委託先仕様書（CAT）（タナックス希望）" xfId="209" xr:uid="{00000000-0005-0000-0000-0000DB000000}"/>
    <cellStyle name="40% - アクセント 6 6" xfId="210" xr:uid="{00000000-0005-0000-0000-0000DC000000}"/>
    <cellStyle name="40% - アクセント 6 7" xfId="211" xr:uid="{00000000-0005-0000-0000-0000DD000000}"/>
    <cellStyle name="40% - アクセント 6 8" xfId="852" xr:uid="{00000000-0005-0000-0000-0000DE000000}"/>
    <cellStyle name="60% - Accent1" xfId="212" xr:uid="{00000000-0005-0000-0000-0000DF000000}"/>
    <cellStyle name="60% - Accent1 2" xfId="213" xr:uid="{00000000-0005-0000-0000-0000E0000000}"/>
    <cellStyle name="60% - Accent2" xfId="214" xr:uid="{00000000-0005-0000-0000-0000E1000000}"/>
    <cellStyle name="60% - Accent2 2" xfId="215" xr:uid="{00000000-0005-0000-0000-0000E2000000}"/>
    <cellStyle name="60% - Accent3" xfId="216" xr:uid="{00000000-0005-0000-0000-0000E3000000}"/>
    <cellStyle name="60% - Accent3 2" xfId="217" xr:uid="{00000000-0005-0000-0000-0000E4000000}"/>
    <cellStyle name="60% - Accent4" xfId="218" xr:uid="{00000000-0005-0000-0000-0000E5000000}"/>
    <cellStyle name="60% - Accent4 2" xfId="219" xr:uid="{00000000-0005-0000-0000-0000E6000000}"/>
    <cellStyle name="60% - Accent5" xfId="220" xr:uid="{00000000-0005-0000-0000-0000E7000000}"/>
    <cellStyle name="60% - Accent5 2" xfId="221" xr:uid="{00000000-0005-0000-0000-0000E8000000}"/>
    <cellStyle name="60% - Accent6" xfId="222" xr:uid="{00000000-0005-0000-0000-0000E9000000}"/>
    <cellStyle name="60% - Accent6 2" xfId="223" xr:uid="{00000000-0005-0000-0000-0000EA000000}"/>
    <cellStyle name="60% - アクセント 1" xfId="224" builtinId="32" customBuiltin="1"/>
    <cellStyle name="60% - アクセント 1 2" xfId="225" xr:uid="{00000000-0005-0000-0000-0000EC000000}"/>
    <cellStyle name="60% - アクセント 1 3" xfId="226" xr:uid="{00000000-0005-0000-0000-0000ED000000}"/>
    <cellStyle name="60% - アクセント 1 3 2" xfId="227" xr:uid="{00000000-0005-0000-0000-0000EE000000}"/>
    <cellStyle name="60% - アクセント 1 4" xfId="228" xr:uid="{00000000-0005-0000-0000-0000EF000000}"/>
    <cellStyle name="60% - アクセント 1 4 2" xfId="229" xr:uid="{00000000-0005-0000-0000-0000F0000000}"/>
    <cellStyle name="60% - アクセント 1 5" xfId="230" xr:uid="{00000000-0005-0000-0000-0000F1000000}"/>
    <cellStyle name="60% - アクセント 1 6" xfId="231" xr:uid="{00000000-0005-0000-0000-0000F2000000}"/>
    <cellStyle name="60% - アクセント 1 7" xfId="853" xr:uid="{00000000-0005-0000-0000-0000F3000000}"/>
    <cellStyle name="60% - アクセント 2" xfId="232" builtinId="36" customBuiltin="1"/>
    <cellStyle name="60% - アクセント 2 2" xfId="233" xr:uid="{00000000-0005-0000-0000-0000F5000000}"/>
    <cellStyle name="60% - アクセント 2 3" xfId="234" xr:uid="{00000000-0005-0000-0000-0000F6000000}"/>
    <cellStyle name="60% - アクセント 2 3 2" xfId="235" xr:uid="{00000000-0005-0000-0000-0000F7000000}"/>
    <cellStyle name="60% - アクセント 2 4" xfId="236" xr:uid="{00000000-0005-0000-0000-0000F8000000}"/>
    <cellStyle name="60% - アクセント 2 4 2" xfId="237" xr:uid="{00000000-0005-0000-0000-0000F9000000}"/>
    <cellStyle name="60% - アクセント 2 5" xfId="238" xr:uid="{00000000-0005-0000-0000-0000FA000000}"/>
    <cellStyle name="60% - アクセント 2 6" xfId="239" xr:uid="{00000000-0005-0000-0000-0000FB000000}"/>
    <cellStyle name="60% - アクセント 2 7" xfId="854" xr:uid="{00000000-0005-0000-0000-0000FC000000}"/>
    <cellStyle name="60% - アクセント 3" xfId="240" builtinId="40" customBuiltin="1"/>
    <cellStyle name="60% - アクセント 3 2" xfId="241" xr:uid="{00000000-0005-0000-0000-0000FE000000}"/>
    <cellStyle name="60% - アクセント 3 3" xfId="242" xr:uid="{00000000-0005-0000-0000-0000FF000000}"/>
    <cellStyle name="60% - アクセント 3 3 2" xfId="243" xr:uid="{00000000-0005-0000-0000-000000010000}"/>
    <cellStyle name="60% - アクセント 3 4" xfId="244" xr:uid="{00000000-0005-0000-0000-000001010000}"/>
    <cellStyle name="60% - アクセント 3 4 2" xfId="245" xr:uid="{00000000-0005-0000-0000-000002010000}"/>
    <cellStyle name="60% - アクセント 3 5" xfId="246" xr:uid="{00000000-0005-0000-0000-000003010000}"/>
    <cellStyle name="60% - アクセント 3 6" xfId="247" xr:uid="{00000000-0005-0000-0000-000004010000}"/>
    <cellStyle name="60% - アクセント 3 7" xfId="855" xr:uid="{00000000-0005-0000-0000-000005010000}"/>
    <cellStyle name="60% - アクセント 4" xfId="248" builtinId="44" customBuiltin="1"/>
    <cellStyle name="60% - アクセント 4 2" xfId="249" xr:uid="{00000000-0005-0000-0000-000007010000}"/>
    <cellStyle name="60% - アクセント 4 3" xfId="250" xr:uid="{00000000-0005-0000-0000-000008010000}"/>
    <cellStyle name="60% - アクセント 4 3 2" xfId="251" xr:uid="{00000000-0005-0000-0000-000009010000}"/>
    <cellStyle name="60% - アクセント 4 4" xfId="252" xr:uid="{00000000-0005-0000-0000-00000A010000}"/>
    <cellStyle name="60% - アクセント 4 4 2" xfId="253" xr:uid="{00000000-0005-0000-0000-00000B010000}"/>
    <cellStyle name="60% - アクセント 4 5" xfId="254" xr:uid="{00000000-0005-0000-0000-00000C010000}"/>
    <cellStyle name="60% - アクセント 4 6" xfId="255" xr:uid="{00000000-0005-0000-0000-00000D010000}"/>
    <cellStyle name="60% - アクセント 4 7" xfId="856" xr:uid="{00000000-0005-0000-0000-00000E010000}"/>
    <cellStyle name="60% - アクセント 5" xfId="256" builtinId="48" customBuiltin="1"/>
    <cellStyle name="60% - アクセント 5 2" xfId="257" xr:uid="{00000000-0005-0000-0000-000010010000}"/>
    <cellStyle name="60% - アクセント 5 3" xfId="258" xr:uid="{00000000-0005-0000-0000-000011010000}"/>
    <cellStyle name="60% - アクセント 5 3 2" xfId="259" xr:uid="{00000000-0005-0000-0000-000012010000}"/>
    <cellStyle name="60% - アクセント 5 4" xfId="260" xr:uid="{00000000-0005-0000-0000-000013010000}"/>
    <cellStyle name="60% - アクセント 5 4 2" xfId="261" xr:uid="{00000000-0005-0000-0000-000014010000}"/>
    <cellStyle name="60% - アクセント 5 5" xfId="262" xr:uid="{00000000-0005-0000-0000-000015010000}"/>
    <cellStyle name="60% - アクセント 5 6" xfId="263" xr:uid="{00000000-0005-0000-0000-000016010000}"/>
    <cellStyle name="60% - アクセント 5 7" xfId="857" xr:uid="{00000000-0005-0000-0000-000017010000}"/>
    <cellStyle name="60% - アクセント 6" xfId="264" builtinId="52" customBuiltin="1"/>
    <cellStyle name="60% - アクセント 6 2" xfId="265" xr:uid="{00000000-0005-0000-0000-000019010000}"/>
    <cellStyle name="60% - アクセント 6 3" xfId="266" xr:uid="{00000000-0005-0000-0000-00001A010000}"/>
    <cellStyle name="60% - アクセント 6 3 2" xfId="267" xr:uid="{00000000-0005-0000-0000-00001B010000}"/>
    <cellStyle name="60% - アクセント 6 4" xfId="268" xr:uid="{00000000-0005-0000-0000-00001C010000}"/>
    <cellStyle name="60% - アクセント 6 4 2" xfId="269" xr:uid="{00000000-0005-0000-0000-00001D010000}"/>
    <cellStyle name="60% - アクセント 6 5" xfId="270" xr:uid="{00000000-0005-0000-0000-00001E010000}"/>
    <cellStyle name="60% - アクセント 6 6" xfId="271" xr:uid="{00000000-0005-0000-0000-00001F010000}"/>
    <cellStyle name="60% - アクセント 6 7" xfId="858" xr:uid="{00000000-0005-0000-0000-000020010000}"/>
    <cellStyle name="Accent1" xfId="272" xr:uid="{00000000-0005-0000-0000-000021010000}"/>
    <cellStyle name="Accent1 - 20%" xfId="273" xr:uid="{00000000-0005-0000-0000-000022010000}"/>
    <cellStyle name="Accent1 - 40%" xfId="274" xr:uid="{00000000-0005-0000-0000-000023010000}"/>
    <cellStyle name="Accent1 - 60%" xfId="275" xr:uid="{00000000-0005-0000-0000-000024010000}"/>
    <cellStyle name="Accent1 2" xfId="276" xr:uid="{00000000-0005-0000-0000-000025010000}"/>
    <cellStyle name="Accent1 3" xfId="277" xr:uid="{00000000-0005-0000-0000-000026010000}"/>
    <cellStyle name="Accent1 4" xfId="278" xr:uid="{00000000-0005-0000-0000-000027010000}"/>
    <cellStyle name="Accent1 5" xfId="279" xr:uid="{00000000-0005-0000-0000-000028010000}"/>
    <cellStyle name="Accent1 6" xfId="280" xr:uid="{00000000-0005-0000-0000-000029010000}"/>
    <cellStyle name="Accent1_（0720）【LK Durian2.0】SCManagement" xfId="281" xr:uid="{00000000-0005-0000-0000-00002A010000}"/>
    <cellStyle name="Accent2" xfId="282" xr:uid="{00000000-0005-0000-0000-00002B010000}"/>
    <cellStyle name="Accent2 - 20%" xfId="283" xr:uid="{00000000-0005-0000-0000-00002C010000}"/>
    <cellStyle name="Accent2 - 40%" xfId="284" xr:uid="{00000000-0005-0000-0000-00002D010000}"/>
    <cellStyle name="Accent2 - 60%" xfId="285" xr:uid="{00000000-0005-0000-0000-00002E010000}"/>
    <cellStyle name="Accent2 2" xfId="286" xr:uid="{00000000-0005-0000-0000-00002F010000}"/>
    <cellStyle name="Accent2 3" xfId="287" xr:uid="{00000000-0005-0000-0000-000030010000}"/>
    <cellStyle name="Accent2 4" xfId="288" xr:uid="{00000000-0005-0000-0000-000031010000}"/>
    <cellStyle name="Accent2 5" xfId="289" xr:uid="{00000000-0005-0000-0000-000032010000}"/>
    <cellStyle name="Accent2 6" xfId="290" xr:uid="{00000000-0005-0000-0000-000033010000}"/>
    <cellStyle name="Accent2_（0720）【LK Durian2.0】SCManagement" xfId="291" xr:uid="{00000000-0005-0000-0000-000034010000}"/>
    <cellStyle name="Accent3" xfId="292" xr:uid="{00000000-0005-0000-0000-000035010000}"/>
    <cellStyle name="Accent3 - 20%" xfId="293" xr:uid="{00000000-0005-0000-0000-000036010000}"/>
    <cellStyle name="Accent3 - 40%" xfId="294" xr:uid="{00000000-0005-0000-0000-000037010000}"/>
    <cellStyle name="Accent3 - 60%" xfId="295" xr:uid="{00000000-0005-0000-0000-000038010000}"/>
    <cellStyle name="Accent3 2" xfId="296" xr:uid="{00000000-0005-0000-0000-000039010000}"/>
    <cellStyle name="Accent3 3" xfId="297" xr:uid="{00000000-0005-0000-0000-00003A010000}"/>
    <cellStyle name="Accent3 4" xfId="298" xr:uid="{00000000-0005-0000-0000-00003B010000}"/>
    <cellStyle name="Accent3 5" xfId="299" xr:uid="{00000000-0005-0000-0000-00003C010000}"/>
    <cellStyle name="Accent3 6" xfId="300" xr:uid="{00000000-0005-0000-0000-00003D010000}"/>
    <cellStyle name="Accent3_（0720）【LK Durian2.0】SCManagement" xfId="301" xr:uid="{00000000-0005-0000-0000-00003E010000}"/>
    <cellStyle name="Accent4" xfId="302" xr:uid="{00000000-0005-0000-0000-00003F010000}"/>
    <cellStyle name="Accent4 - 20%" xfId="303" xr:uid="{00000000-0005-0000-0000-000040010000}"/>
    <cellStyle name="Accent4 - 40%" xfId="304" xr:uid="{00000000-0005-0000-0000-000041010000}"/>
    <cellStyle name="Accent4 - 60%" xfId="305" xr:uid="{00000000-0005-0000-0000-000042010000}"/>
    <cellStyle name="Accent4 2" xfId="306" xr:uid="{00000000-0005-0000-0000-000043010000}"/>
    <cellStyle name="Accent4 3" xfId="307" xr:uid="{00000000-0005-0000-0000-000044010000}"/>
    <cellStyle name="Accent4 4" xfId="308" xr:uid="{00000000-0005-0000-0000-000045010000}"/>
    <cellStyle name="Accent4 5" xfId="309" xr:uid="{00000000-0005-0000-0000-000046010000}"/>
    <cellStyle name="Accent4 6" xfId="310" xr:uid="{00000000-0005-0000-0000-000047010000}"/>
    <cellStyle name="Accent4_（0720）【LK Durian2.0】SCManagement" xfId="311" xr:uid="{00000000-0005-0000-0000-000048010000}"/>
    <cellStyle name="Accent5" xfId="312" xr:uid="{00000000-0005-0000-0000-000049010000}"/>
    <cellStyle name="Accent5 - 20%" xfId="313" xr:uid="{00000000-0005-0000-0000-00004A010000}"/>
    <cellStyle name="Accent5 - 40%" xfId="314" xr:uid="{00000000-0005-0000-0000-00004B010000}"/>
    <cellStyle name="Accent5 - 60%" xfId="315" xr:uid="{00000000-0005-0000-0000-00004C010000}"/>
    <cellStyle name="Accent5 2" xfId="316" xr:uid="{00000000-0005-0000-0000-00004D010000}"/>
    <cellStyle name="Accent5 3" xfId="317" xr:uid="{00000000-0005-0000-0000-00004E010000}"/>
    <cellStyle name="Accent5 4" xfId="318" xr:uid="{00000000-0005-0000-0000-00004F010000}"/>
    <cellStyle name="Accent5 5" xfId="319" xr:uid="{00000000-0005-0000-0000-000050010000}"/>
    <cellStyle name="Accent5 6" xfId="320" xr:uid="{00000000-0005-0000-0000-000051010000}"/>
    <cellStyle name="Accent5_（0720）【LK Durian2.0】SCManagement" xfId="321" xr:uid="{00000000-0005-0000-0000-000052010000}"/>
    <cellStyle name="Accent6" xfId="322" xr:uid="{00000000-0005-0000-0000-000053010000}"/>
    <cellStyle name="Accent6 - 20%" xfId="323" xr:uid="{00000000-0005-0000-0000-000054010000}"/>
    <cellStyle name="Accent6 - 40%" xfId="324" xr:uid="{00000000-0005-0000-0000-000055010000}"/>
    <cellStyle name="Accent6 - 60%" xfId="325" xr:uid="{00000000-0005-0000-0000-000056010000}"/>
    <cellStyle name="Accent6 2" xfId="326" xr:uid="{00000000-0005-0000-0000-000057010000}"/>
    <cellStyle name="Accent6 3" xfId="327" xr:uid="{00000000-0005-0000-0000-000058010000}"/>
    <cellStyle name="Accent6 4" xfId="328" xr:uid="{00000000-0005-0000-0000-000059010000}"/>
    <cellStyle name="Accent6 5" xfId="329" xr:uid="{00000000-0005-0000-0000-00005A010000}"/>
    <cellStyle name="Accent6 6" xfId="330" xr:uid="{00000000-0005-0000-0000-00005B010000}"/>
    <cellStyle name="Accent6_（0720）【LK Durian2.0】SCManagement" xfId="331" xr:uid="{00000000-0005-0000-0000-00005C010000}"/>
    <cellStyle name="active" xfId="332" xr:uid="{00000000-0005-0000-0000-00005D010000}"/>
    <cellStyle name="Apr_Input" xfId="333" xr:uid="{00000000-0005-0000-0000-00005E010000}"/>
    <cellStyle name="AST_REP.XLS]S_SQL_Parse" xfId="334" xr:uid="{00000000-0005-0000-0000-00005F010000}"/>
    <cellStyle name="Aug_Input" xfId="335" xr:uid="{00000000-0005-0000-0000-000060010000}"/>
    <cellStyle name="Bad" xfId="336" xr:uid="{00000000-0005-0000-0000-000061010000}"/>
    <cellStyle name="Bad 2" xfId="337" xr:uid="{00000000-0005-0000-0000-000062010000}"/>
    <cellStyle name="Calc Currency (0)" xfId="338" xr:uid="{00000000-0005-0000-0000-000063010000}"/>
    <cellStyle name="Calculation" xfId="339" xr:uid="{00000000-0005-0000-0000-000064010000}"/>
    <cellStyle name="Calculation 2" xfId="340" xr:uid="{00000000-0005-0000-0000-000065010000}"/>
    <cellStyle name="Calculation 2 2" xfId="860" xr:uid="{00000000-0005-0000-0000-000066010000}"/>
    <cellStyle name="Calculation 3" xfId="859" xr:uid="{00000000-0005-0000-0000-000067010000}"/>
    <cellStyle name="Check Cell" xfId="341" xr:uid="{00000000-0005-0000-0000-000068010000}"/>
    <cellStyle name="Check Cell 2" xfId="342" xr:uid="{00000000-0005-0000-0000-000069010000}"/>
    <cellStyle name="Comma [0]" xfId="343" xr:uid="{00000000-0005-0000-0000-00006A010000}"/>
    <cellStyle name="Comma_$" xfId="344" xr:uid="{00000000-0005-0000-0000-00006B010000}"/>
    <cellStyle name="cTextB" xfId="345" xr:uid="{00000000-0005-0000-0000-00006C010000}"/>
    <cellStyle name="cTextBCen" xfId="346" xr:uid="{00000000-0005-0000-0000-00006D010000}"/>
    <cellStyle name="cTextU" xfId="347" xr:uid="{00000000-0005-0000-0000-00006E010000}"/>
    <cellStyle name="CuBrEncy [0]_mQuery" xfId="348" xr:uid="{00000000-0005-0000-0000-00006F010000}"/>
    <cellStyle name="Currency [" xfId="349" xr:uid="{00000000-0005-0000-0000-000070010000}"/>
    <cellStyle name="Currency [0]" xfId="350" xr:uid="{00000000-0005-0000-0000-000071010000}"/>
    <cellStyle name="Currency [0]OCONTENTS (2)_S_NC_Shell" xfId="351" xr:uid="{00000000-0005-0000-0000-000072010000}"/>
    <cellStyle name="Currency [RON]" xfId="352" xr:uid="{00000000-0005-0000-0000-000073010000}"/>
    <cellStyle name="Currency Ron" xfId="353" xr:uid="{00000000-0005-0000-0000-000074010000}"/>
    <cellStyle name="Currency_$" xfId="354" xr:uid="{00000000-0005-0000-0000-000075010000}"/>
    <cellStyle name="Dec_Input" xfId="355" xr:uid="{00000000-0005-0000-0000-000076010000}"/>
    <cellStyle name="Emphasis 1" xfId="356" xr:uid="{00000000-0005-0000-0000-000077010000}"/>
    <cellStyle name="Emphasis 2" xfId="357" xr:uid="{00000000-0005-0000-0000-000078010000}"/>
    <cellStyle name="Emphasis 3" xfId="358" xr:uid="{00000000-0005-0000-0000-000079010000}"/>
    <cellStyle name="entry" xfId="359" xr:uid="{00000000-0005-0000-0000-00007A010000}"/>
    <cellStyle name="Euro" xfId="360" xr:uid="{00000000-0005-0000-0000-00007B010000}"/>
    <cellStyle name="Euro 2" xfId="361" xr:uid="{00000000-0005-0000-0000-00007C010000}"/>
    <cellStyle name="Explanatory Text" xfId="362" xr:uid="{00000000-0005-0000-0000-00007D010000}"/>
    <cellStyle name="Explanatory Text 2" xfId="363" xr:uid="{00000000-0005-0000-0000-00007E010000}"/>
    <cellStyle name="Feb_Input" xfId="364" xr:uid="{00000000-0005-0000-0000-00007F010000}"/>
    <cellStyle name="Good" xfId="365" xr:uid="{00000000-0005-0000-0000-000080010000}"/>
    <cellStyle name="Good 2" xfId="366" xr:uid="{00000000-0005-0000-0000-000081010000}"/>
    <cellStyle name="Grey" xfId="367" xr:uid="{00000000-0005-0000-0000-000082010000}"/>
    <cellStyle name="Header1" xfId="368" xr:uid="{00000000-0005-0000-0000-000083010000}"/>
    <cellStyle name="Header1 2" xfId="369" xr:uid="{00000000-0005-0000-0000-000084010000}"/>
    <cellStyle name="Header2" xfId="370" xr:uid="{00000000-0005-0000-0000-000085010000}"/>
    <cellStyle name="Header2 2" xfId="371" xr:uid="{00000000-0005-0000-0000-000086010000}"/>
    <cellStyle name="Heading 1" xfId="372" xr:uid="{00000000-0005-0000-0000-000087010000}"/>
    <cellStyle name="Heading 1 2" xfId="373" xr:uid="{00000000-0005-0000-0000-000088010000}"/>
    <cellStyle name="Heading 2" xfId="374" xr:uid="{00000000-0005-0000-0000-000089010000}"/>
    <cellStyle name="Heading 2 2" xfId="375" xr:uid="{00000000-0005-0000-0000-00008A010000}"/>
    <cellStyle name="Heading 3" xfId="376" xr:uid="{00000000-0005-0000-0000-00008B010000}"/>
    <cellStyle name="Heading 3 2" xfId="377" xr:uid="{00000000-0005-0000-0000-00008C010000}"/>
    <cellStyle name="Heading 4" xfId="378" xr:uid="{00000000-0005-0000-0000-00008D010000}"/>
    <cellStyle name="Heading 4 2" xfId="379" xr:uid="{00000000-0005-0000-0000-00008E010000}"/>
    <cellStyle name="Input" xfId="380" xr:uid="{00000000-0005-0000-0000-00008F010000}"/>
    <cellStyle name="Input [yellow]" xfId="381" xr:uid="{00000000-0005-0000-0000-000090010000}"/>
    <cellStyle name="Input 2" xfId="382" xr:uid="{00000000-0005-0000-0000-000091010000}"/>
    <cellStyle name="Input 2 2" xfId="862" xr:uid="{00000000-0005-0000-0000-000092010000}"/>
    <cellStyle name="Input 3" xfId="383" xr:uid="{00000000-0005-0000-0000-000093010000}"/>
    <cellStyle name="Input 3 2" xfId="863" xr:uid="{00000000-0005-0000-0000-000094010000}"/>
    <cellStyle name="Input 4" xfId="384" xr:uid="{00000000-0005-0000-0000-000095010000}"/>
    <cellStyle name="Input 4 2" xfId="864" xr:uid="{00000000-0005-0000-0000-000096010000}"/>
    <cellStyle name="Input 5" xfId="385" xr:uid="{00000000-0005-0000-0000-000097010000}"/>
    <cellStyle name="Input 5 2" xfId="865" xr:uid="{00000000-0005-0000-0000-000098010000}"/>
    <cellStyle name="Input 6" xfId="386" xr:uid="{00000000-0005-0000-0000-000099010000}"/>
    <cellStyle name="Input 6 2" xfId="866" xr:uid="{00000000-0005-0000-0000-00009A010000}"/>
    <cellStyle name="Input 7" xfId="861" xr:uid="{00000000-0005-0000-0000-00009B010000}"/>
    <cellStyle name="Input_（0720）【LK Durian2.0】SCManagement" xfId="387" xr:uid="{00000000-0005-0000-0000-00009C010000}"/>
    <cellStyle name="iTextGenWrap" xfId="388" xr:uid="{00000000-0005-0000-0000-00009D010000}"/>
    <cellStyle name="iTextGenWrap 2" xfId="389" xr:uid="{00000000-0005-0000-0000-00009E010000}"/>
    <cellStyle name="Jan_Input" xfId="390" xr:uid="{00000000-0005-0000-0000-00009F010000}"/>
    <cellStyle name="Jul_Input" xfId="391" xr:uid="{00000000-0005-0000-0000-0000A0010000}"/>
    <cellStyle name="Jun_Input" xfId="392" xr:uid="{00000000-0005-0000-0000-0000A1010000}"/>
    <cellStyle name="Linked Cell" xfId="393" xr:uid="{00000000-0005-0000-0000-0000A2010000}"/>
    <cellStyle name="Linked Cell 2" xfId="394" xr:uid="{00000000-0005-0000-0000-0000A3010000}"/>
    <cellStyle name="Mar_Input" xfId="395" xr:uid="{00000000-0005-0000-0000-0000A4010000}"/>
    <cellStyle name="May_Input" xfId="396" xr:uid="{00000000-0005-0000-0000-0000A5010000}"/>
    <cellStyle name="Milliers [0]_AR1194" xfId="397" xr:uid="{00000000-0005-0000-0000-0000A6010000}"/>
    <cellStyle name="Milliers_AR1194" xfId="398" xr:uid="{00000000-0005-0000-0000-0000A7010000}"/>
    <cellStyle name="Mon騁aire [0]_AR1194" xfId="399" xr:uid="{00000000-0005-0000-0000-0000A8010000}"/>
    <cellStyle name="Mon騁aire_AR1194" xfId="400" xr:uid="{00000000-0005-0000-0000-0000A9010000}"/>
    <cellStyle name="Neutral" xfId="401" xr:uid="{00000000-0005-0000-0000-0000AA010000}"/>
    <cellStyle name="Neutral 2" xfId="402" xr:uid="{00000000-0005-0000-0000-0000AB010000}"/>
    <cellStyle name="NoBmal_TemplAtes - Step 1_UTILS" xfId="403" xr:uid="{00000000-0005-0000-0000-0000AC010000}"/>
    <cellStyle name="Normal - Style1" xfId="404" xr:uid="{00000000-0005-0000-0000-0000AD010000}"/>
    <cellStyle name="Normal - Style1 2" xfId="405" xr:uid="{00000000-0005-0000-0000-0000AE010000}"/>
    <cellStyle name="Normal_#18-Internet" xfId="406" xr:uid="{00000000-0005-0000-0000-0000AF010000}"/>
    <cellStyle name="NormalOTemplates - Step 1_Templates _x000a_ Step 2_1" xfId="407" xr:uid="{00000000-0005-0000-0000-0000B0010000}"/>
    <cellStyle name="NormalOTemplates - Step 3_1" xfId="408" xr:uid="{00000000-0005-0000-0000-0000B1010000}"/>
    <cellStyle name="Note" xfId="409" xr:uid="{00000000-0005-0000-0000-0000B2010000}"/>
    <cellStyle name="Note 2" xfId="410" xr:uid="{00000000-0005-0000-0000-0000B3010000}"/>
    <cellStyle name="Note 2 2" xfId="868" xr:uid="{00000000-0005-0000-0000-0000B4010000}"/>
    <cellStyle name="Note 3" xfId="411" xr:uid="{00000000-0005-0000-0000-0000B5010000}"/>
    <cellStyle name="Note 3 2" xfId="869" xr:uid="{00000000-0005-0000-0000-0000B6010000}"/>
    <cellStyle name="Note 4" xfId="867" xr:uid="{00000000-0005-0000-0000-0000B7010000}"/>
    <cellStyle name="Nov_Input" xfId="412" xr:uid="{00000000-0005-0000-0000-0000B8010000}"/>
    <cellStyle name="Oct_Input" xfId="413" xr:uid="{00000000-0005-0000-0000-0000B9010000}"/>
    <cellStyle name="ORK-IN-PROCESS INVENTORY','1371 WORK-IN-PROCESS/SVC DEVIATIONS','1373 WORK-IN-PROCESS R" xfId="414" xr:uid="{00000000-0005-0000-0000-0000BA010000}"/>
    <cellStyle name="ORK-IN-PROCESS INVENTORY','1371 WORK-IN-PROCESS/SVC DEVIATIONS','1373 WORK-IN-PROCESS R 2" xfId="415" xr:uid="{00000000-0005-0000-0000-0000BB010000}"/>
    <cellStyle name="Output" xfId="416" xr:uid="{00000000-0005-0000-0000-0000BC010000}"/>
    <cellStyle name="Output 2" xfId="417" xr:uid="{00000000-0005-0000-0000-0000BD010000}"/>
    <cellStyle name="Output 2 2" xfId="871" xr:uid="{00000000-0005-0000-0000-0000BE010000}"/>
    <cellStyle name="Output 3" xfId="870" xr:uid="{00000000-0005-0000-0000-0000BF010000}"/>
    <cellStyle name="Percent [2]" xfId="418" xr:uid="{00000000-0005-0000-0000-0000C0010000}"/>
    <cellStyle name="Percent [2] 2" xfId="419" xr:uid="{00000000-0005-0000-0000-0000C1010000}"/>
    <cellStyle name="PERCENTAGE" xfId="420" xr:uid="{00000000-0005-0000-0000-0000C2010000}"/>
    <cellStyle name="price" xfId="421" xr:uid="{00000000-0005-0000-0000-0000C3010000}"/>
    <cellStyle name="PSChar" xfId="422" xr:uid="{00000000-0005-0000-0000-0000C4010000}"/>
    <cellStyle name="PSHeading" xfId="423" xr:uid="{00000000-0005-0000-0000-0000C5010000}"/>
    <cellStyle name="revised" xfId="424" xr:uid="{00000000-0005-0000-0000-0000C6010000}"/>
    <cellStyle name="RONS CURRENCY" xfId="425" xr:uid="{00000000-0005-0000-0000-0000C7010000}"/>
    <cellStyle name="RonsCurrency" xfId="426" xr:uid="{00000000-0005-0000-0000-0000C8010000}"/>
    <cellStyle name="SAPBEXaggData" xfId="427" xr:uid="{00000000-0005-0000-0000-0000C9010000}"/>
    <cellStyle name="SAPBEXaggData 2" xfId="872" xr:uid="{00000000-0005-0000-0000-0000CA010000}"/>
    <cellStyle name="SAPBEXaggDataEmph" xfId="428" xr:uid="{00000000-0005-0000-0000-0000CB010000}"/>
    <cellStyle name="SAPBEXaggDataEmph 2" xfId="873" xr:uid="{00000000-0005-0000-0000-0000CC010000}"/>
    <cellStyle name="SAPBEXaggItem" xfId="429" xr:uid="{00000000-0005-0000-0000-0000CD010000}"/>
    <cellStyle name="SAPBEXaggItem 2" xfId="874" xr:uid="{00000000-0005-0000-0000-0000CE010000}"/>
    <cellStyle name="SAPBEXaggItemX" xfId="430" xr:uid="{00000000-0005-0000-0000-0000CF010000}"/>
    <cellStyle name="SAPBEXaggItemX 2" xfId="875" xr:uid="{00000000-0005-0000-0000-0000D0010000}"/>
    <cellStyle name="SAPBEXchaText" xfId="431" xr:uid="{00000000-0005-0000-0000-0000D1010000}"/>
    <cellStyle name="SAPBEXchaText 2" xfId="432" xr:uid="{00000000-0005-0000-0000-0000D2010000}"/>
    <cellStyle name="SAPBEXchaText 2 2" xfId="877" xr:uid="{00000000-0005-0000-0000-0000D3010000}"/>
    <cellStyle name="SAPBEXchaText 3" xfId="876" xr:uid="{00000000-0005-0000-0000-0000D4010000}"/>
    <cellStyle name="SAPBEXexcBad7" xfId="433" xr:uid="{00000000-0005-0000-0000-0000D5010000}"/>
    <cellStyle name="SAPBEXexcBad7 2" xfId="878" xr:uid="{00000000-0005-0000-0000-0000D6010000}"/>
    <cellStyle name="SAPBEXexcBad8" xfId="434" xr:uid="{00000000-0005-0000-0000-0000D7010000}"/>
    <cellStyle name="SAPBEXexcBad8 2" xfId="879" xr:uid="{00000000-0005-0000-0000-0000D8010000}"/>
    <cellStyle name="SAPBEXexcBad9" xfId="435" xr:uid="{00000000-0005-0000-0000-0000D9010000}"/>
    <cellStyle name="SAPBEXexcBad9 2" xfId="880" xr:uid="{00000000-0005-0000-0000-0000DA010000}"/>
    <cellStyle name="SAPBEXexcCritical4" xfId="436" xr:uid="{00000000-0005-0000-0000-0000DB010000}"/>
    <cellStyle name="SAPBEXexcCritical4 2" xfId="881" xr:uid="{00000000-0005-0000-0000-0000DC010000}"/>
    <cellStyle name="SAPBEXexcCritical5" xfId="437" xr:uid="{00000000-0005-0000-0000-0000DD010000}"/>
    <cellStyle name="SAPBEXexcCritical5 2" xfId="882" xr:uid="{00000000-0005-0000-0000-0000DE010000}"/>
    <cellStyle name="SAPBEXexcCritical6" xfId="438" xr:uid="{00000000-0005-0000-0000-0000DF010000}"/>
    <cellStyle name="SAPBEXexcCritical6 2" xfId="883" xr:uid="{00000000-0005-0000-0000-0000E0010000}"/>
    <cellStyle name="SAPBEXexcGood1" xfId="439" xr:uid="{00000000-0005-0000-0000-0000E1010000}"/>
    <cellStyle name="SAPBEXexcGood1 2" xfId="884" xr:uid="{00000000-0005-0000-0000-0000E2010000}"/>
    <cellStyle name="SAPBEXexcGood2" xfId="440" xr:uid="{00000000-0005-0000-0000-0000E3010000}"/>
    <cellStyle name="SAPBEXexcGood2 2" xfId="885" xr:uid="{00000000-0005-0000-0000-0000E4010000}"/>
    <cellStyle name="SAPBEXexcGood3" xfId="441" xr:uid="{00000000-0005-0000-0000-0000E5010000}"/>
    <cellStyle name="SAPBEXexcGood3 2" xfId="886" xr:uid="{00000000-0005-0000-0000-0000E6010000}"/>
    <cellStyle name="SAPBEXfilterDrill" xfId="442" xr:uid="{00000000-0005-0000-0000-0000E7010000}"/>
    <cellStyle name="SAPBEXfilterDrill 2" xfId="887" xr:uid="{00000000-0005-0000-0000-0000E8010000}"/>
    <cellStyle name="SAPBEXfilterItem" xfId="443" xr:uid="{00000000-0005-0000-0000-0000E9010000}"/>
    <cellStyle name="SAPBEXfilterText" xfId="444" xr:uid="{00000000-0005-0000-0000-0000EA010000}"/>
    <cellStyle name="SAPBEXformats" xfId="445" xr:uid="{00000000-0005-0000-0000-0000EB010000}"/>
    <cellStyle name="SAPBEXformats 2" xfId="446" xr:uid="{00000000-0005-0000-0000-0000EC010000}"/>
    <cellStyle name="SAPBEXformats 2 2" xfId="889" xr:uid="{00000000-0005-0000-0000-0000ED010000}"/>
    <cellStyle name="SAPBEXformats 3" xfId="888" xr:uid="{00000000-0005-0000-0000-0000EE010000}"/>
    <cellStyle name="SAPBEXheaderItem" xfId="447" xr:uid="{00000000-0005-0000-0000-0000EF010000}"/>
    <cellStyle name="SAPBEXheaderItem 2" xfId="890" xr:uid="{00000000-0005-0000-0000-0000F0010000}"/>
    <cellStyle name="SAPBEXheaderText" xfId="448" xr:uid="{00000000-0005-0000-0000-0000F1010000}"/>
    <cellStyle name="SAPBEXheaderText 2" xfId="891" xr:uid="{00000000-0005-0000-0000-0000F2010000}"/>
    <cellStyle name="SAPBEXHLevel0" xfId="449" xr:uid="{00000000-0005-0000-0000-0000F3010000}"/>
    <cellStyle name="SAPBEXHLevel0 2" xfId="450" xr:uid="{00000000-0005-0000-0000-0000F4010000}"/>
    <cellStyle name="SAPBEXHLevel0 2 2" xfId="893" xr:uid="{00000000-0005-0000-0000-0000F5010000}"/>
    <cellStyle name="SAPBEXHLevel0 3" xfId="892" xr:uid="{00000000-0005-0000-0000-0000F6010000}"/>
    <cellStyle name="SAPBEXHLevel0X" xfId="451" xr:uid="{00000000-0005-0000-0000-0000F7010000}"/>
    <cellStyle name="SAPBEXHLevel0X 2" xfId="452" xr:uid="{00000000-0005-0000-0000-0000F8010000}"/>
    <cellStyle name="SAPBEXHLevel0X 2 2" xfId="895" xr:uid="{00000000-0005-0000-0000-0000F9010000}"/>
    <cellStyle name="SAPBEXHLevel0X 3" xfId="894" xr:uid="{00000000-0005-0000-0000-0000FA010000}"/>
    <cellStyle name="SAPBEXHLevel1" xfId="453" xr:uid="{00000000-0005-0000-0000-0000FB010000}"/>
    <cellStyle name="SAPBEXHLevel1 2" xfId="454" xr:uid="{00000000-0005-0000-0000-0000FC010000}"/>
    <cellStyle name="SAPBEXHLevel1 2 2" xfId="897" xr:uid="{00000000-0005-0000-0000-0000FD010000}"/>
    <cellStyle name="SAPBEXHLevel1 3" xfId="896" xr:uid="{00000000-0005-0000-0000-0000FE010000}"/>
    <cellStyle name="SAPBEXHLevel1X" xfId="455" xr:uid="{00000000-0005-0000-0000-0000FF010000}"/>
    <cellStyle name="SAPBEXHLevel1X 2" xfId="456" xr:uid="{00000000-0005-0000-0000-000000020000}"/>
    <cellStyle name="SAPBEXHLevel1X 2 2" xfId="899" xr:uid="{00000000-0005-0000-0000-000001020000}"/>
    <cellStyle name="SAPBEXHLevel1X 3" xfId="898" xr:uid="{00000000-0005-0000-0000-000002020000}"/>
    <cellStyle name="SAPBEXHLevel2" xfId="457" xr:uid="{00000000-0005-0000-0000-000003020000}"/>
    <cellStyle name="SAPBEXHLevel2 2" xfId="458" xr:uid="{00000000-0005-0000-0000-000004020000}"/>
    <cellStyle name="SAPBEXHLevel2 2 2" xfId="901" xr:uid="{00000000-0005-0000-0000-000005020000}"/>
    <cellStyle name="SAPBEXHLevel2 3" xfId="900" xr:uid="{00000000-0005-0000-0000-000006020000}"/>
    <cellStyle name="SAPBEXHLevel2X" xfId="459" xr:uid="{00000000-0005-0000-0000-000007020000}"/>
    <cellStyle name="SAPBEXHLevel2X 2" xfId="460" xr:uid="{00000000-0005-0000-0000-000008020000}"/>
    <cellStyle name="SAPBEXHLevel2X 2 2" xfId="903" xr:uid="{00000000-0005-0000-0000-000009020000}"/>
    <cellStyle name="SAPBEXHLevel2X 3" xfId="902" xr:uid="{00000000-0005-0000-0000-00000A020000}"/>
    <cellStyle name="SAPBEXHLevel3" xfId="461" xr:uid="{00000000-0005-0000-0000-00000B020000}"/>
    <cellStyle name="SAPBEXHLevel3 2" xfId="462" xr:uid="{00000000-0005-0000-0000-00000C020000}"/>
    <cellStyle name="SAPBEXHLevel3 2 2" xfId="905" xr:uid="{00000000-0005-0000-0000-00000D020000}"/>
    <cellStyle name="SAPBEXHLevel3 3" xfId="904" xr:uid="{00000000-0005-0000-0000-00000E020000}"/>
    <cellStyle name="SAPBEXHLevel3X" xfId="463" xr:uid="{00000000-0005-0000-0000-00000F020000}"/>
    <cellStyle name="SAPBEXHLevel3X 2" xfId="464" xr:uid="{00000000-0005-0000-0000-000010020000}"/>
    <cellStyle name="SAPBEXHLevel3X 2 2" xfId="907" xr:uid="{00000000-0005-0000-0000-000011020000}"/>
    <cellStyle name="SAPBEXHLevel3X 3" xfId="906" xr:uid="{00000000-0005-0000-0000-000012020000}"/>
    <cellStyle name="SAPBEXinputData" xfId="465" xr:uid="{00000000-0005-0000-0000-000013020000}"/>
    <cellStyle name="SAPBEXinputData 2" xfId="908" xr:uid="{00000000-0005-0000-0000-000014020000}"/>
    <cellStyle name="SAPBEXItemHeader" xfId="466" xr:uid="{00000000-0005-0000-0000-000015020000}"/>
    <cellStyle name="SAPBEXItemHeader 2" xfId="909" xr:uid="{00000000-0005-0000-0000-000016020000}"/>
    <cellStyle name="SAPBEXresData" xfId="467" xr:uid="{00000000-0005-0000-0000-000017020000}"/>
    <cellStyle name="SAPBEXresData 2" xfId="910" xr:uid="{00000000-0005-0000-0000-000018020000}"/>
    <cellStyle name="SAPBEXresDataEmph" xfId="468" xr:uid="{00000000-0005-0000-0000-000019020000}"/>
    <cellStyle name="SAPBEXresDataEmph 2" xfId="911" xr:uid="{00000000-0005-0000-0000-00001A020000}"/>
    <cellStyle name="SAPBEXresItem" xfId="469" xr:uid="{00000000-0005-0000-0000-00001B020000}"/>
    <cellStyle name="SAPBEXresItem 2" xfId="912" xr:uid="{00000000-0005-0000-0000-00001C020000}"/>
    <cellStyle name="SAPBEXresItemX" xfId="470" xr:uid="{00000000-0005-0000-0000-00001D020000}"/>
    <cellStyle name="SAPBEXresItemX 2" xfId="913" xr:uid="{00000000-0005-0000-0000-00001E020000}"/>
    <cellStyle name="SAPBEXstdData" xfId="471" xr:uid="{00000000-0005-0000-0000-00001F020000}"/>
    <cellStyle name="SAPBEXstdData 2" xfId="914" xr:uid="{00000000-0005-0000-0000-000020020000}"/>
    <cellStyle name="SAPBEXstdDataEmph" xfId="472" xr:uid="{00000000-0005-0000-0000-000021020000}"/>
    <cellStyle name="SAPBEXstdDataEmph 2" xfId="915" xr:uid="{00000000-0005-0000-0000-000022020000}"/>
    <cellStyle name="SAPBEXstdItem" xfId="473" xr:uid="{00000000-0005-0000-0000-000023020000}"/>
    <cellStyle name="SAPBEXstdItem 2" xfId="474" xr:uid="{00000000-0005-0000-0000-000024020000}"/>
    <cellStyle name="SAPBEXstdItem 2 2" xfId="917" xr:uid="{00000000-0005-0000-0000-000025020000}"/>
    <cellStyle name="SAPBEXstdItem 3" xfId="916" xr:uid="{00000000-0005-0000-0000-000026020000}"/>
    <cellStyle name="SAPBEXstdItemX" xfId="475" xr:uid="{00000000-0005-0000-0000-000027020000}"/>
    <cellStyle name="SAPBEXstdItemX 2" xfId="476" xr:uid="{00000000-0005-0000-0000-000028020000}"/>
    <cellStyle name="SAPBEXstdItemX 2 2" xfId="919" xr:uid="{00000000-0005-0000-0000-000029020000}"/>
    <cellStyle name="SAPBEXstdItemX 3" xfId="918" xr:uid="{00000000-0005-0000-0000-00002A020000}"/>
    <cellStyle name="SAPBEXtitle" xfId="477" xr:uid="{00000000-0005-0000-0000-00002B020000}"/>
    <cellStyle name="SAPBEXunassignedItem" xfId="478" xr:uid="{00000000-0005-0000-0000-00002C020000}"/>
    <cellStyle name="SAPBEXundefined" xfId="479" xr:uid="{00000000-0005-0000-0000-00002D020000}"/>
    <cellStyle name="SAPBEXundefined 2" xfId="920" xr:uid="{00000000-0005-0000-0000-00002E020000}"/>
    <cellStyle name="section" xfId="480" xr:uid="{00000000-0005-0000-0000-00002F020000}"/>
    <cellStyle name="Sep_Input" xfId="481" xr:uid="{00000000-0005-0000-0000-000030020000}"/>
    <cellStyle name="Sheet Title" xfId="482" xr:uid="{00000000-0005-0000-0000-000031020000}"/>
    <cellStyle name="subhead" xfId="483" xr:uid="{00000000-0005-0000-0000-000032020000}"/>
    <cellStyle name="Title" xfId="484" xr:uid="{00000000-0005-0000-0000-000033020000}"/>
    <cellStyle name="Title 2" xfId="485" xr:uid="{00000000-0005-0000-0000-000034020000}"/>
    <cellStyle name="Total" xfId="486" xr:uid="{00000000-0005-0000-0000-000035020000}"/>
    <cellStyle name="Total 2" xfId="487" xr:uid="{00000000-0005-0000-0000-000036020000}"/>
    <cellStyle name="Total 2 2" xfId="922" xr:uid="{00000000-0005-0000-0000-000037020000}"/>
    <cellStyle name="Total 3" xfId="921" xr:uid="{00000000-0005-0000-0000-000038020000}"/>
    <cellStyle name="Warning Text" xfId="488" xr:uid="{00000000-0005-0000-0000-000039020000}"/>
    <cellStyle name="Warning Text 2" xfId="489" xr:uid="{00000000-0005-0000-0000-00003A020000}"/>
    <cellStyle name="xTitle" xfId="490" xr:uid="{00000000-0005-0000-0000-00003B020000}"/>
    <cellStyle name="アクセント 1" xfId="491" builtinId="29" customBuiltin="1"/>
    <cellStyle name="アクセント 1 - 20%" xfId="492" xr:uid="{00000000-0005-0000-0000-00003D020000}"/>
    <cellStyle name="アクセント 1 - 40%" xfId="493" xr:uid="{00000000-0005-0000-0000-00003E020000}"/>
    <cellStyle name="アクセント 1 - 60%" xfId="494" xr:uid="{00000000-0005-0000-0000-00003F020000}"/>
    <cellStyle name="アクセント 1 2" xfId="495" xr:uid="{00000000-0005-0000-0000-000040020000}"/>
    <cellStyle name="アクセント 1 3" xfId="496" xr:uid="{00000000-0005-0000-0000-000041020000}"/>
    <cellStyle name="アクセント 1 3 2" xfId="497" xr:uid="{00000000-0005-0000-0000-000042020000}"/>
    <cellStyle name="アクセント 1 4" xfId="498" xr:uid="{00000000-0005-0000-0000-000043020000}"/>
    <cellStyle name="アクセント 1 4 2" xfId="499" xr:uid="{00000000-0005-0000-0000-000044020000}"/>
    <cellStyle name="アクセント 1 5" xfId="500" xr:uid="{00000000-0005-0000-0000-000045020000}"/>
    <cellStyle name="アクセント 1 6" xfId="501" xr:uid="{00000000-0005-0000-0000-000046020000}"/>
    <cellStyle name="アクセント 1 7" xfId="923" xr:uid="{00000000-0005-0000-0000-000047020000}"/>
    <cellStyle name="アクセント 2" xfId="502" builtinId="33" customBuiltin="1"/>
    <cellStyle name="アクセント 2 - 20%" xfId="503" xr:uid="{00000000-0005-0000-0000-000049020000}"/>
    <cellStyle name="アクセント 2 - 40%" xfId="504" xr:uid="{00000000-0005-0000-0000-00004A020000}"/>
    <cellStyle name="アクセント 2 - 60%" xfId="505" xr:uid="{00000000-0005-0000-0000-00004B020000}"/>
    <cellStyle name="アクセント 2 2" xfId="506" xr:uid="{00000000-0005-0000-0000-00004C020000}"/>
    <cellStyle name="アクセント 2 3" xfId="507" xr:uid="{00000000-0005-0000-0000-00004D020000}"/>
    <cellStyle name="アクセント 2 3 2" xfId="508" xr:uid="{00000000-0005-0000-0000-00004E020000}"/>
    <cellStyle name="アクセント 2 4" xfId="509" xr:uid="{00000000-0005-0000-0000-00004F020000}"/>
    <cellStyle name="アクセント 2 4 2" xfId="510" xr:uid="{00000000-0005-0000-0000-000050020000}"/>
    <cellStyle name="アクセント 2 5" xfId="511" xr:uid="{00000000-0005-0000-0000-000051020000}"/>
    <cellStyle name="アクセント 2 6" xfId="512" xr:uid="{00000000-0005-0000-0000-000052020000}"/>
    <cellStyle name="アクセント 2 7" xfId="924" xr:uid="{00000000-0005-0000-0000-000053020000}"/>
    <cellStyle name="アクセント 3" xfId="513" builtinId="37" customBuiltin="1"/>
    <cellStyle name="アクセント 3 - 20%" xfId="514" xr:uid="{00000000-0005-0000-0000-000055020000}"/>
    <cellStyle name="アクセント 3 - 40%" xfId="515" xr:uid="{00000000-0005-0000-0000-000056020000}"/>
    <cellStyle name="アクセント 3 - 60%" xfId="516" xr:uid="{00000000-0005-0000-0000-000057020000}"/>
    <cellStyle name="アクセント 3 2" xfId="517" xr:uid="{00000000-0005-0000-0000-000058020000}"/>
    <cellStyle name="アクセント 3 3" xfId="518" xr:uid="{00000000-0005-0000-0000-000059020000}"/>
    <cellStyle name="アクセント 3 3 2" xfId="519" xr:uid="{00000000-0005-0000-0000-00005A020000}"/>
    <cellStyle name="アクセント 3 4" xfId="520" xr:uid="{00000000-0005-0000-0000-00005B020000}"/>
    <cellStyle name="アクセント 3 4 2" xfId="521" xr:uid="{00000000-0005-0000-0000-00005C020000}"/>
    <cellStyle name="アクセント 3 5" xfId="522" xr:uid="{00000000-0005-0000-0000-00005D020000}"/>
    <cellStyle name="アクセント 3 6" xfId="523" xr:uid="{00000000-0005-0000-0000-00005E020000}"/>
    <cellStyle name="アクセント 3 7" xfId="925" xr:uid="{00000000-0005-0000-0000-00005F020000}"/>
    <cellStyle name="アクセント 4" xfId="524" builtinId="41" customBuiltin="1"/>
    <cellStyle name="アクセント 4 - 20%" xfId="525" xr:uid="{00000000-0005-0000-0000-000061020000}"/>
    <cellStyle name="アクセント 4 - 40%" xfId="526" xr:uid="{00000000-0005-0000-0000-000062020000}"/>
    <cellStyle name="アクセント 4 - 60%" xfId="527" xr:uid="{00000000-0005-0000-0000-000063020000}"/>
    <cellStyle name="アクセント 4 2" xfId="528" xr:uid="{00000000-0005-0000-0000-000064020000}"/>
    <cellStyle name="アクセント 4 3" xfId="529" xr:uid="{00000000-0005-0000-0000-000065020000}"/>
    <cellStyle name="アクセント 4 3 2" xfId="530" xr:uid="{00000000-0005-0000-0000-000066020000}"/>
    <cellStyle name="アクセント 4 4" xfId="531" xr:uid="{00000000-0005-0000-0000-000067020000}"/>
    <cellStyle name="アクセント 4 4 2" xfId="532" xr:uid="{00000000-0005-0000-0000-000068020000}"/>
    <cellStyle name="アクセント 4 5" xfId="533" xr:uid="{00000000-0005-0000-0000-000069020000}"/>
    <cellStyle name="アクセント 4 6" xfId="534" xr:uid="{00000000-0005-0000-0000-00006A020000}"/>
    <cellStyle name="アクセント 4 7" xfId="926" xr:uid="{00000000-0005-0000-0000-00006B020000}"/>
    <cellStyle name="アクセント 5" xfId="535" builtinId="45" customBuiltin="1"/>
    <cellStyle name="アクセント 5 - 20%" xfId="536" xr:uid="{00000000-0005-0000-0000-00006D020000}"/>
    <cellStyle name="アクセント 5 - 40%" xfId="537" xr:uid="{00000000-0005-0000-0000-00006E020000}"/>
    <cellStyle name="アクセント 5 - 60%" xfId="538" xr:uid="{00000000-0005-0000-0000-00006F020000}"/>
    <cellStyle name="アクセント 5 2" xfId="539" xr:uid="{00000000-0005-0000-0000-000070020000}"/>
    <cellStyle name="アクセント 5 3" xfId="540" xr:uid="{00000000-0005-0000-0000-000071020000}"/>
    <cellStyle name="アクセント 5 3 2" xfId="541" xr:uid="{00000000-0005-0000-0000-000072020000}"/>
    <cellStyle name="アクセント 5 4" xfId="542" xr:uid="{00000000-0005-0000-0000-000073020000}"/>
    <cellStyle name="アクセント 5 4 2" xfId="543" xr:uid="{00000000-0005-0000-0000-000074020000}"/>
    <cellStyle name="アクセント 5 5" xfId="544" xr:uid="{00000000-0005-0000-0000-000075020000}"/>
    <cellStyle name="アクセント 5 6" xfId="545" xr:uid="{00000000-0005-0000-0000-000076020000}"/>
    <cellStyle name="アクセント 5 7" xfId="927" xr:uid="{00000000-0005-0000-0000-000077020000}"/>
    <cellStyle name="アクセント 6" xfId="546" builtinId="49" customBuiltin="1"/>
    <cellStyle name="アクセント 6 - 20%" xfId="547" xr:uid="{00000000-0005-0000-0000-000079020000}"/>
    <cellStyle name="アクセント 6 - 40%" xfId="548" xr:uid="{00000000-0005-0000-0000-00007A020000}"/>
    <cellStyle name="アクセント 6 - 60%" xfId="549" xr:uid="{00000000-0005-0000-0000-00007B020000}"/>
    <cellStyle name="アクセント 6 2" xfId="550" xr:uid="{00000000-0005-0000-0000-00007C020000}"/>
    <cellStyle name="アクセント 6 3" xfId="551" xr:uid="{00000000-0005-0000-0000-00007D020000}"/>
    <cellStyle name="アクセント 6 3 2" xfId="552" xr:uid="{00000000-0005-0000-0000-00007E020000}"/>
    <cellStyle name="アクセント 6 4" xfId="553" xr:uid="{00000000-0005-0000-0000-00007F020000}"/>
    <cellStyle name="アクセント 6 4 2" xfId="554" xr:uid="{00000000-0005-0000-0000-000080020000}"/>
    <cellStyle name="アクセント 6 5" xfId="555" xr:uid="{00000000-0005-0000-0000-000081020000}"/>
    <cellStyle name="アクセント 6 6" xfId="556" xr:uid="{00000000-0005-0000-0000-000082020000}"/>
    <cellStyle name="アクセント 6 7" xfId="928" xr:uid="{00000000-0005-0000-0000-000083020000}"/>
    <cellStyle name="お" xfId="557" xr:uid="{00000000-0005-0000-0000-000084020000}"/>
    <cellStyle name="お_2011代品依頼" xfId="558" xr:uid="{00000000-0005-0000-0000-000085020000}"/>
    <cellStyle name="お_2011代品依頼_2011代品依頼" xfId="559" xr:uid="{00000000-0005-0000-0000-000086020000}"/>
    <cellStyle name="お_2011代品依頼_2011代品依頼_2011代品依頼" xfId="560" xr:uid="{00000000-0005-0000-0000-000087020000}"/>
    <cellStyle name="お_2011代品依頼_2011代品依頼_2011代品依頼_2011代品依頼" xfId="561" xr:uid="{00000000-0005-0000-0000-000088020000}"/>
    <cellStyle name="ｹ鮗ﾐﾀｲ_ｰ豼ｵﾁ･" xfId="562" xr:uid="{00000000-0005-0000-0000-000089020000}"/>
    <cellStyle name="スタイル 1" xfId="563" xr:uid="{00000000-0005-0000-0000-00008A020000}"/>
    <cellStyle name="タイトル" xfId="564" builtinId="15" customBuiltin="1"/>
    <cellStyle name="タイトル 2" xfId="565" xr:uid="{00000000-0005-0000-0000-00008C020000}"/>
    <cellStyle name="タイトル 3" xfId="566" xr:uid="{00000000-0005-0000-0000-00008D020000}"/>
    <cellStyle name="タイトル 3 2" xfId="567" xr:uid="{00000000-0005-0000-0000-00008E020000}"/>
    <cellStyle name="タイトル 4" xfId="568" xr:uid="{00000000-0005-0000-0000-00008F020000}"/>
    <cellStyle name="タイトル 5" xfId="569" xr:uid="{00000000-0005-0000-0000-000090020000}"/>
    <cellStyle name="タイトル 6" xfId="929" xr:uid="{00000000-0005-0000-0000-000091020000}"/>
    <cellStyle name="チェック セル" xfId="570" builtinId="23" customBuiltin="1"/>
    <cellStyle name="チェック セル 2" xfId="571" xr:uid="{00000000-0005-0000-0000-000093020000}"/>
    <cellStyle name="チェック セル 3" xfId="572" xr:uid="{00000000-0005-0000-0000-000094020000}"/>
    <cellStyle name="チェック セル 3 2" xfId="573" xr:uid="{00000000-0005-0000-0000-000095020000}"/>
    <cellStyle name="チェック セル 4" xfId="574" xr:uid="{00000000-0005-0000-0000-000096020000}"/>
    <cellStyle name="チェック セル 4 2" xfId="575" xr:uid="{00000000-0005-0000-0000-000097020000}"/>
    <cellStyle name="チェック セル 5" xfId="576" xr:uid="{00000000-0005-0000-0000-000098020000}"/>
    <cellStyle name="チェック セル 6" xfId="577" xr:uid="{00000000-0005-0000-0000-000099020000}"/>
    <cellStyle name="チェック セル 7" xfId="930" xr:uid="{00000000-0005-0000-0000-00009A020000}"/>
    <cellStyle name="ﾄﾞｸｶ [0]_ｰ・ｮﾇﾗｸｾｾｺｰ " xfId="578" xr:uid="{00000000-0005-0000-0000-00009B020000}"/>
    <cellStyle name="ﾄﾞｸｶ_ｰ・ｮﾇﾗｸｾｾｺｰ " xfId="579" xr:uid="{00000000-0005-0000-0000-00009C020000}"/>
    <cellStyle name="どちらでもない" xfId="580" builtinId="28" customBuiltin="1"/>
    <cellStyle name="どちらでもない 2" xfId="581" xr:uid="{00000000-0005-0000-0000-00009E020000}"/>
    <cellStyle name="どちらでもない 3" xfId="582" xr:uid="{00000000-0005-0000-0000-00009F020000}"/>
    <cellStyle name="どちらでもない 3 2" xfId="583" xr:uid="{00000000-0005-0000-0000-0000A0020000}"/>
    <cellStyle name="どちらでもない 4" xfId="584" xr:uid="{00000000-0005-0000-0000-0000A1020000}"/>
    <cellStyle name="どちらでもない 4 2" xfId="585" xr:uid="{00000000-0005-0000-0000-0000A2020000}"/>
    <cellStyle name="どちらでもない 5" xfId="586" xr:uid="{00000000-0005-0000-0000-0000A3020000}"/>
    <cellStyle name="どちらでもない 6" xfId="587" xr:uid="{00000000-0005-0000-0000-0000A4020000}"/>
    <cellStyle name="どちらでもない 7" xfId="931" xr:uid="{00000000-0005-0000-0000-0000A5020000}"/>
    <cellStyle name="ﾅ・ｭ [0]_ｰ・ｮﾇﾗｸｾｾｺｰ " xfId="588" xr:uid="{00000000-0005-0000-0000-0000A6020000}"/>
    <cellStyle name="ﾅ・ｭ_ｰ・ｮﾇﾗｸｾｾｺｰ " xfId="589" xr:uid="{00000000-0005-0000-0000-0000A7020000}"/>
    <cellStyle name="ﾇ･ﾁﾘ_ｰ・ｮﾇﾗｸｾｾｺｰ " xfId="590" xr:uid="{00000000-0005-0000-0000-0000A8020000}"/>
    <cellStyle name="パーセント 2" xfId="591" xr:uid="{00000000-0005-0000-0000-0000A9020000}"/>
    <cellStyle name="パーセント 2 2" xfId="592" xr:uid="{00000000-0005-0000-0000-0000AA020000}"/>
    <cellStyle name="パーセント 2 3" xfId="593" xr:uid="{00000000-0005-0000-0000-0000AB020000}"/>
    <cellStyle name="パーセント 2 4" xfId="932" xr:uid="{00000000-0005-0000-0000-0000AC020000}"/>
    <cellStyle name="パーセント 3" xfId="594" xr:uid="{00000000-0005-0000-0000-0000AD020000}"/>
    <cellStyle name="パーセント 3 2" xfId="595" xr:uid="{00000000-0005-0000-0000-0000AE020000}"/>
    <cellStyle name="パーセント 4" xfId="596" xr:uid="{00000000-0005-0000-0000-0000AF020000}"/>
    <cellStyle name="ハイパーリンク 2" xfId="597" xr:uid="{00000000-0005-0000-0000-0000B0020000}"/>
    <cellStyle name="ハイパーリンク 2 2" xfId="598" xr:uid="{00000000-0005-0000-0000-0000B1020000}"/>
    <cellStyle name="ハイパーリンク 2 3" xfId="1016" xr:uid="{CB8D2950-B38D-40D6-A97D-741B0B9A192A}"/>
    <cellStyle name="ハイパーリンク 3" xfId="599" xr:uid="{00000000-0005-0000-0000-0000B2020000}"/>
    <cellStyle name="ハイパーリンク 6" xfId="600" xr:uid="{00000000-0005-0000-0000-0000B3020000}"/>
    <cellStyle name="メモ" xfId="601" builtinId="10" customBuiltin="1"/>
    <cellStyle name="メモ 2" xfId="602" xr:uid="{00000000-0005-0000-0000-0000B5020000}"/>
    <cellStyle name="メモ 2 2" xfId="934" xr:uid="{00000000-0005-0000-0000-0000B6020000}"/>
    <cellStyle name="メモ 3" xfId="603" xr:uid="{00000000-0005-0000-0000-0000B7020000}"/>
    <cellStyle name="メモ 3 2" xfId="604" xr:uid="{00000000-0005-0000-0000-0000B8020000}"/>
    <cellStyle name="メモ 3 2 2" xfId="605" xr:uid="{00000000-0005-0000-0000-0000B9020000}"/>
    <cellStyle name="メモ 3 2 2 2" xfId="937" xr:uid="{00000000-0005-0000-0000-0000BA020000}"/>
    <cellStyle name="メモ 3 2 3" xfId="936" xr:uid="{00000000-0005-0000-0000-0000BB020000}"/>
    <cellStyle name="メモ 3 3" xfId="606" xr:uid="{00000000-0005-0000-0000-0000BC020000}"/>
    <cellStyle name="メモ 3 3 2" xfId="938" xr:uid="{00000000-0005-0000-0000-0000BD020000}"/>
    <cellStyle name="メモ 3 4" xfId="935" xr:uid="{00000000-0005-0000-0000-0000BE020000}"/>
    <cellStyle name="メモ 4" xfId="607" xr:uid="{00000000-0005-0000-0000-0000BF020000}"/>
    <cellStyle name="メモ 4 2" xfId="608" xr:uid="{00000000-0005-0000-0000-0000C0020000}"/>
    <cellStyle name="メモ 4 2 2" xfId="940" xr:uid="{00000000-0005-0000-0000-0000C1020000}"/>
    <cellStyle name="メモ 4 3" xfId="939" xr:uid="{00000000-0005-0000-0000-0000C2020000}"/>
    <cellStyle name="メモ 5" xfId="609" xr:uid="{00000000-0005-0000-0000-0000C3020000}"/>
    <cellStyle name="メモ 5 2" xfId="610" xr:uid="{00000000-0005-0000-0000-0000C4020000}"/>
    <cellStyle name="メモ 5 2 2" xfId="942" xr:uid="{00000000-0005-0000-0000-0000C5020000}"/>
    <cellStyle name="メモ 5 3" xfId="941" xr:uid="{00000000-0005-0000-0000-0000C6020000}"/>
    <cellStyle name="メモ 6" xfId="611" xr:uid="{00000000-0005-0000-0000-0000C7020000}"/>
    <cellStyle name="メモ 6 2" xfId="943" xr:uid="{00000000-0005-0000-0000-0000C8020000}"/>
    <cellStyle name="メモ 7" xfId="612" xr:uid="{00000000-0005-0000-0000-0000C9020000}"/>
    <cellStyle name="メモ 8" xfId="613" xr:uid="{00000000-0005-0000-0000-0000CA020000}"/>
    <cellStyle name="メモ 8 2" xfId="944" xr:uid="{00000000-0005-0000-0000-0000CB020000}"/>
    <cellStyle name="メモ 9" xfId="933" xr:uid="{00000000-0005-0000-0000-0000CC020000}"/>
    <cellStyle name="リンク セル" xfId="614" builtinId="24" customBuiltin="1"/>
    <cellStyle name="リンク セル 2" xfId="615" xr:uid="{00000000-0005-0000-0000-0000CE020000}"/>
    <cellStyle name="リンク セル 3" xfId="616" xr:uid="{00000000-0005-0000-0000-0000CF020000}"/>
    <cellStyle name="リンク セル 3 2" xfId="617" xr:uid="{00000000-0005-0000-0000-0000D0020000}"/>
    <cellStyle name="リンク セル 4" xfId="618" xr:uid="{00000000-0005-0000-0000-0000D1020000}"/>
    <cellStyle name="リンク セル 4 2" xfId="619" xr:uid="{00000000-0005-0000-0000-0000D2020000}"/>
    <cellStyle name="リンク セル 5" xfId="620" xr:uid="{00000000-0005-0000-0000-0000D3020000}"/>
    <cellStyle name="リンク セル 6" xfId="621" xr:uid="{00000000-0005-0000-0000-0000D4020000}"/>
    <cellStyle name="リンク セル 7" xfId="945" xr:uid="{00000000-0005-0000-0000-0000D5020000}"/>
    <cellStyle name="悪い" xfId="622" builtinId="27" customBuiltin="1"/>
    <cellStyle name="悪い 2" xfId="623" xr:uid="{00000000-0005-0000-0000-0000D7020000}"/>
    <cellStyle name="悪い 3" xfId="624" xr:uid="{00000000-0005-0000-0000-0000D8020000}"/>
    <cellStyle name="悪い 3 2" xfId="625" xr:uid="{00000000-0005-0000-0000-0000D9020000}"/>
    <cellStyle name="悪い 4" xfId="626" xr:uid="{00000000-0005-0000-0000-0000DA020000}"/>
    <cellStyle name="悪い 4 2" xfId="627" xr:uid="{00000000-0005-0000-0000-0000DB020000}"/>
    <cellStyle name="悪い 5" xfId="628" xr:uid="{00000000-0005-0000-0000-0000DC020000}"/>
    <cellStyle name="悪い 6" xfId="629" xr:uid="{00000000-0005-0000-0000-0000DD020000}"/>
    <cellStyle name="悪い 7" xfId="946" xr:uid="{00000000-0005-0000-0000-0000DE020000}"/>
    <cellStyle name="強調 1" xfId="630" xr:uid="{00000000-0005-0000-0000-0000DF020000}"/>
    <cellStyle name="強調 2" xfId="631" xr:uid="{00000000-0005-0000-0000-0000E0020000}"/>
    <cellStyle name="強調 3" xfId="632" xr:uid="{00000000-0005-0000-0000-0000E1020000}"/>
    <cellStyle name="計算" xfId="633" builtinId="22" customBuiltin="1"/>
    <cellStyle name="計算 2" xfId="634" xr:uid="{00000000-0005-0000-0000-0000E3020000}"/>
    <cellStyle name="計算 2 2" xfId="948" xr:uid="{00000000-0005-0000-0000-0000E4020000}"/>
    <cellStyle name="計算 3" xfId="635" xr:uid="{00000000-0005-0000-0000-0000E5020000}"/>
    <cellStyle name="計算 3 2" xfId="636" xr:uid="{00000000-0005-0000-0000-0000E6020000}"/>
    <cellStyle name="計算 3 2 2" xfId="950" xr:uid="{00000000-0005-0000-0000-0000E7020000}"/>
    <cellStyle name="計算 3 3" xfId="949" xr:uid="{00000000-0005-0000-0000-0000E8020000}"/>
    <cellStyle name="計算 4" xfId="637" xr:uid="{00000000-0005-0000-0000-0000E9020000}"/>
    <cellStyle name="計算 4 2" xfId="638" xr:uid="{00000000-0005-0000-0000-0000EA020000}"/>
    <cellStyle name="計算 4 2 2" xfId="952" xr:uid="{00000000-0005-0000-0000-0000EB020000}"/>
    <cellStyle name="計算 4 3" xfId="951" xr:uid="{00000000-0005-0000-0000-0000EC020000}"/>
    <cellStyle name="計算 5" xfId="639" xr:uid="{00000000-0005-0000-0000-0000ED020000}"/>
    <cellStyle name="計算 5 2" xfId="953" xr:uid="{00000000-0005-0000-0000-0000EE020000}"/>
    <cellStyle name="計算 6" xfId="640" xr:uid="{00000000-0005-0000-0000-0000EF020000}"/>
    <cellStyle name="計算 7" xfId="947" xr:uid="{00000000-0005-0000-0000-0000F0020000}"/>
    <cellStyle name="警告文" xfId="641" builtinId="11" customBuiltin="1"/>
    <cellStyle name="警告文 2" xfId="642" xr:uid="{00000000-0005-0000-0000-0000F2020000}"/>
    <cellStyle name="警告文 3" xfId="643" xr:uid="{00000000-0005-0000-0000-0000F3020000}"/>
    <cellStyle name="警告文 3 2" xfId="644" xr:uid="{00000000-0005-0000-0000-0000F4020000}"/>
    <cellStyle name="警告文 4" xfId="645" xr:uid="{00000000-0005-0000-0000-0000F5020000}"/>
    <cellStyle name="警告文 4 2" xfId="646" xr:uid="{00000000-0005-0000-0000-0000F6020000}"/>
    <cellStyle name="警告文 5" xfId="647" xr:uid="{00000000-0005-0000-0000-0000F7020000}"/>
    <cellStyle name="警告文 6" xfId="648" xr:uid="{00000000-0005-0000-0000-0000F8020000}"/>
    <cellStyle name="警告文 7" xfId="954" xr:uid="{00000000-0005-0000-0000-0000F9020000}"/>
    <cellStyle name="桁区切り [0.00] 2" xfId="649" xr:uid="{00000000-0005-0000-0000-0000FA020000}"/>
    <cellStyle name="桁区切り [0.00] 3" xfId="650" xr:uid="{00000000-0005-0000-0000-0000FB020000}"/>
    <cellStyle name="桁区切り 10" xfId="651" xr:uid="{00000000-0005-0000-0000-0000FC020000}"/>
    <cellStyle name="桁区切り 10 2" xfId="652" xr:uid="{00000000-0005-0000-0000-0000FD020000}"/>
    <cellStyle name="桁区切り 2" xfId="653" xr:uid="{00000000-0005-0000-0000-0000FE020000}"/>
    <cellStyle name="桁区切り 2 2" xfId="654" xr:uid="{00000000-0005-0000-0000-0000FF020000}"/>
    <cellStyle name="桁区切り 2 2 2" xfId="655" xr:uid="{00000000-0005-0000-0000-000000030000}"/>
    <cellStyle name="桁区切り 2 2 2 2" xfId="1006" xr:uid="{00000000-0005-0000-0000-000001030000}"/>
    <cellStyle name="桁区切り 2 3" xfId="656" xr:uid="{00000000-0005-0000-0000-000002030000}"/>
    <cellStyle name="桁区切り 2 4" xfId="657" xr:uid="{00000000-0005-0000-0000-000003030000}"/>
    <cellStyle name="桁区切り 2_【template】表紙" xfId="658" xr:uid="{00000000-0005-0000-0000-000004030000}"/>
    <cellStyle name="桁区切り 3" xfId="659" xr:uid="{00000000-0005-0000-0000-000005030000}"/>
    <cellStyle name="桁区切り 3 2" xfId="955" xr:uid="{00000000-0005-0000-0000-000006030000}"/>
    <cellStyle name="桁区切り 4" xfId="660" xr:uid="{00000000-0005-0000-0000-000007030000}"/>
    <cellStyle name="桁区切り 5" xfId="661" xr:uid="{00000000-0005-0000-0000-000008030000}"/>
    <cellStyle name="桁区切り 6" xfId="662" xr:uid="{00000000-0005-0000-0000-000009030000}"/>
    <cellStyle name="桁区切り 7" xfId="663" xr:uid="{00000000-0005-0000-0000-00000A030000}"/>
    <cellStyle name="桁区切り 8" xfId="664" xr:uid="{00000000-0005-0000-0000-00000B030000}"/>
    <cellStyle name="桁区切り 9" xfId="665" xr:uid="{00000000-0005-0000-0000-00000C030000}"/>
    <cellStyle name="見出し 1" xfId="666" builtinId="16" customBuiltin="1"/>
    <cellStyle name="見出し 1 2" xfId="667" xr:uid="{00000000-0005-0000-0000-00000E030000}"/>
    <cellStyle name="見出し 1 3" xfId="668" xr:uid="{00000000-0005-0000-0000-00000F030000}"/>
    <cellStyle name="見出し 1 3 2" xfId="669" xr:uid="{00000000-0005-0000-0000-000010030000}"/>
    <cellStyle name="見出し 1 4" xfId="670" xr:uid="{00000000-0005-0000-0000-000011030000}"/>
    <cellStyle name="見出し 1 4 2" xfId="671" xr:uid="{00000000-0005-0000-0000-000012030000}"/>
    <cellStyle name="見出し 1 5" xfId="672" xr:uid="{00000000-0005-0000-0000-000013030000}"/>
    <cellStyle name="見出し 1 6" xfId="673" xr:uid="{00000000-0005-0000-0000-000014030000}"/>
    <cellStyle name="見出し 1 7" xfId="956" xr:uid="{00000000-0005-0000-0000-000015030000}"/>
    <cellStyle name="見出し 2" xfId="674" builtinId="17" customBuiltin="1"/>
    <cellStyle name="見出し 2 2" xfId="675" xr:uid="{00000000-0005-0000-0000-000017030000}"/>
    <cellStyle name="見出し 2 3" xfId="676" xr:uid="{00000000-0005-0000-0000-000018030000}"/>
    <cellStyle name="見出し 2 3 2" xfId="677" xr:uid="{00000000-0005-0000-0000-000019030000}"/>
    <cellStyle name="見出し 2 4" xfId="678" xr:uid="{00000000-0005-0000-0000-00001A030000}"/>
    <cellStyle name="見出し 2 4 2" xfId="679" xr:uid="{00000000-0005-0000-0000-00001B030000}"/>
    <cellStyle name="見出し 2 5" xfId="680" xr:uid="{00000000-0005-0000-0000-00001C030000}"/>
    <cellStyle name="見出し 2 6" xfId="681" xr:uid="{00000000-0005-0000-0000-00001D030000}"/>
    <cellStyle name="見出し 2 7" xfId="957" xr:uid="{00000000-0005-0000-0000-00001E030000}"/>
    <cellStyle name="見出し 3" xfId="682" builtinId="18" customBuiltin="1"/>
    <cellStyle name="見出し 3 2" xfId="683" xr:uid="{00000000-0005-0000-0000-000020030000}"/>
    <cellStyle name="見出し 3 3" xfId="684" xr:uid="{00000000-0005-0000-0000-000021030000}"/>
    <cellStyle name="見出し 3 3 2" xfId="685" xr:uid="{00000000-0005-0000-0000-000022030000}"/>
    <cellStyle name="見出し 3 4" xfId="686" xr:uid="{00000000-0005-0000-0000-000023030000}"/>
    <cellStyle name="見出し 3 4 2" xfId="687" xr:uid="{00000000-0005-0000-0000-000024030000}"/>
    <cellStyle name="見出し 3 5" xfId="688" xr:uid="{00000000-0005-0000-0000-000025030000}"/>
    <cellStyle name="見出し 3 6" xfId="689" xr:uid="{00000000-0005-0000-0000-000026030000}"/>
    <cellStyle name="見出し 3 7" xfId="958" xr:uid="{00000000-0005-0000-0000-000027030000}"/>
    <cellStyle name="見出し 4" xfId="690" builtinId="19" customBuiltin="1"/>
    <cellStyle name="見出し 4 2" xfId="691" xr:uid="{00000000-0005-0000-0000-000029030000}"/>
    <cellStyle name="見出し 4 3" xfId="692" xr:uid="{00000000-0005-0000-0000-00002A030000}"/>
    <cellStyle name="見出し 4 3 2" xfId="693" xr:uid="{00000000-0005-0000-0000-00002B030000}"/>
    <cellStyle name="見出し 4 4" xfId="694" xr:uid="{00000000-0005-0000-0000-00002C030000}"/>
    <cellStyle name="見出し 4 4 2" xfId="695" xr:uid="{00000000-0005-0000-0000-00002D030000}"/>
    <cellStyle name="見出し 4 5" xfId="696" xr:uid="{00000000-0005-0000-0000-00002E030000}"/>
    <cellStyle name="見出し 4 6" xfId="697" xr:uid="{00000000-0005-0000-0000-00002F030000}"/>
    <cellStyle name="見出し 4 7" xfId="959" xr:uid="{00000000-0005-0000-0000-000030030000}"/>
    <cellStyle name="集計" xfId="698" builtinId="25" customBuiltin="1"/>
    <cellStyle name="集計 2" xfId="699" xr:uid="{00000000-0005-0000-0000-000032030000}"/>
    <cellStyle name="集計 2 2" xfId="961" xr:uid="{00000000-0005-0000-0000-000033030000}"/>
    <cellStyle name="集計 3" xfId="700" xr:uid="{00000000-0005-0000-0000-000034030000}"/>
    <cellStyle name="集計 3 2" xfId="701" xr:uid="{00000000-0005-0000-0000-000035030000}"/>
    <cellStyle name="集計 3 2 2" xfId="963" xr:uid="{00000000-0005-0000-0000-000036030000}"/>
    <cellStyle name="集計 3 3" xfId="962" xr:uid="{00000000-0005-0000-0000-000037030000}"/>
    <cellStyle name="集計 4" xfId="702" xr:uid="{00000000-0005-0000-0000-000038030000}"/>
    <cellStyle name="集計 4 2" xfId="703" xr:uid="{00000000-0005-0000-0000-000039030000}"/>
    <cellStyle name="集計 4 2 2" xfId="965" xr:uid="{00000000-0005-0000-0000-00003A030000}"/>
    <cellStyle name="集計 4 3" xfId="964" xr:uid="{00000000-0005-0000-0000-00003B030000}"/>
    <cellStyle name="集計 5" xfId="704" xr:uid="{00000000-0005-0000-0000-00003C030000}"/>
    <cellStyle name="集計 5 2" xfId="966" xr:uid="{00000000-0005-0000-0000-00003D030000}"/>
    <cellStyle name="集計 6" xfId="705" xr:uid="{00000000-0005-0000-0000-00003E030000}"/>
    <cellStyle name="集計 7" xfId="960" xr:uid="{00000000-0005-0000-0000-00003F030000}"/>
    <cellStyle name="出力" xfId="706" builtinId="21" customBuiltin="1"/>
    <cellStyle name="出力 2" xfId="707" xr:uid="{00000000-0005-0000-0000-000041030000}"/>
    <cellStyle name="出力 2 2" xfId="968" xr:uid="{00000000-0005-0000-0000-000042030000}"/>
    <cellStyle name="出力 3" xfId="708" xr:uid="{00000000-0005-0000-0000-000043030000}"/>
    <cellStyle name="出力 3 2" xfId="709" xr:uid="{00000000-0005-0000-0000-000044030000}"/>
    <cellStyle name="出力 3 2 2" xfId="970" xr:uid="{00000000-0005-0000-0000-000045030000}"/>
    <cellStyle name="出力 3 3" xfId="969" xr:uid="{00000000-0005-0000-0000-000046030000}"/>
    <cellStyle name="出力 4" xfId="710" xr:uid="{00000000-0005-0000-0000-000047030000}"/>
    <cellStyle name="出力 4 2" xfId="711" xr:uid="{00000000-0005-0000-0000-000048030000}"/>
    <cellStyle name="出力 4 2 2" xfId="972" xr:uid="{00000000-0005-0000-0000-000049030000}"/>
    <cellStyle name="出力 4 3" xfId="971" xr:uid="{00000000-0005-0000-0000-00004A030000}"/>
    <cellStyle name="出力 5" xfId="712" xr:uid="{00000000-0005-0000-0000-00004B030000}"/>
    <cellStyle name="出力 5 2" xfId="973" xr:uid="{00000000-0005-0000-0000-00004C030000}"/>
    <cellStyle name="出力 6" xfId="713" xr:uid="{00000000-0005-0000-0000-00004D030000}"/>
    <cellStyle name="出力 7" xfId="967" xr:uid="{00000000-0005-0000-0000-00004E030000}"/>
    <cellStyle name="常规 2" xfId="714" xr:uid="{00000000-0005-0000-0000-00004F030000}"/>
    <cellStyle name="常规 2 2" xfId="715" xr:uid="{00000000-0005-0000-0000-000050030000}"/>
    <cellStyle name="常规 2 3" xfId="716" xr:uid="{00000000-0005-0000-0000-000051030000}"/>
    <cellStyle name="常规 2 4" xfId="717" xr:uid="{00000000-0005-0000-0000-000052030000}"/>
    <cellStyle name="常规 2 4 2" xfId="974" xr:uid="{00000000-0005-0000-0000-000053030000}"/>
    <cellStyle name="常规 3" xfId="718" xr:uid="{00000000-0005-0000-0000-000054030000}"/>
    <cellStyle name="常规 4" xfId="719" xr:uid="{00000000-0005-0000-0000-000055030000}"/>
    <cellStyle name="常规 5" xfId="720" xr:uid="{00000000-0005-0000-0000-000056030000}"/>
    <cellStyle name="常规_Sheet11" xfId="721" xr:uid="{00000000-0005-0000-0000-000057030000}"/>
    <cellStyle name="説明文" xfId="722" builtinId="53" customBuiltin="1"/>
    <cellStyle name="説明文 2" xfId="723" xr:uid="{00000000-0005-0000-0000-000059030000}"/>
    <cellStyle name="説明文 3" xfId="724" xr:uid="{00000000-0005-0000-0000-00005A030000}"/>
    <cellStyle name="説明文 3 2" xfId="725" xr:uid="{00000000-0005-0000-0000-00005B030000}"/>
    <cellStyle name="説明文 4" xfId="726" xr:uid="{00000000-0005-0000-0000-00005C030000}"/>
    <cellStyle name="説明文 4 2" xfId="727" xr:uid="{00000000-0005-0000-0000-00005D030000}"/>
    <cellStyle name="説明文 5" xfId="728" xr:uid="{00000000-0005-0000-0000-00005E030000}"/>
    <cellStyle name="説明文 6" xfId="729" xr:uid="{00000000-0005-0000-0000-00005F030000}"/>
    <cellStyle name="説明文 7" xfId="975" xr:uid="{00000000-0005-0000-0000-000060030000}"/>
    <cellStyle name="通貨 2" xfId="730" xr:uid="{00000000-0005-0000-0000-000061030000}"/>
    <cellStyle name="通貨 2 2" xfId="731" xr:uid="{00000000-0005-0000-0000-000062030000}"/>
    <cellStyle name="通貨 2 2 2" xfId="732" xr:uid="{00000000-0005-0000-0000-000063030000}"/>
    <cellStyle name="通貨 2 2 2 2" xfId="733" xr:uid="{00000000-0005-0000-0000-000064030000}"/>
    <cellStyle name="通貨 2 2 3" xfId="734" xr:uid="{00000000-0005-0000-0000-000065030000}"/>
    <cellStyle name="通貨 2 2 4" xfId="735" xr:uid="{00000000-0005-0000-0000-000066030000}"/>
    <cellStyle name="通貨 2 3" xfId="736" xr:uid="{00000000-0005-0000-0000-000067030000}"/>
    <cellStyle name="通貨 2 3 2" xfId="976" xr:uid="{00000000-0005-0000-0000-000068030000}"/>
    <cellStyle name="通貨 2 4" xfId="737" xr:uid="{00000000-0005-0000-0000-000069030000}"/>
    <cellStyle name="通貨 2 4 2" xfId="977" xr:uid="{00000000-0005-0000-0000-00006A030000}"/>
    <cellStyle name="通貨 2_【template】表紙" xfId="738" xr:uid="{00000000-0005-0000-0000-00006B030000}"/>
    <cellStyle name="通貨 3" xfId="739" xr:uid="{00000000-0005-0000-0000-00006C030000}"/>
    <cellStyle name="通貨 3 2" xfId="740" xr:uid="{00000000-0005-0000-0000-00006D030000}"/>
    <cellStyle name="入力" xfId="741" builtinId="20" customBuiltin="1"/>
    <cellStyle name="入力 2" xfId="742" xr:uid="{00000000-0005-0000-0000-00006F030000}"/>
    <cellStyle name="入力 2 2" xfId="979" xr:uid="{00000000-0005-0000-0000-000070030000}"/>
    <cellStyle name="入力 3" xfId="743" xr:uid="{00000000-0005-0000-0000-000071030000}"/>
    <cellStyle name="入力 3 2" xfId="744" xr:uid="{00000000-0005-0000-0000-000072030000}"/>
    <cellStyle name="入力 3 2 2" xfId="981" xr:uid="{00000000-0005-0000-0000-000073030000}"/>
    <cellStyle name="入力 3 3" xfId="980" xr:uid="{00000000-0005-0000-0000-000074030000}"/>
    <cellStyle name="入力 4" xfId="745" xr:uid="{00000000-0005-0000-0000-000075030000}"/>
    <cellStyle name="入力 4 2" xfId="746" xr:uid="{00000000-0005-0000-0000-000076030000}"/>
    <cellStyle name="入力 4 2 2" xfId="983" xr:uid="{00000000-0005-0000-0000-000077030000}"/>
    <cellStyle name="入力 4 3" xfId="982" xr:uid="{00000000-0005-0000-0000-000078030000}"/>
    <cellStyle name="入力 5" xfId="747" xr:uid="{00000000-0005-0000-0000-000079030000}"/>
    <cellStyle name="入力 5 2" xfId="984" xr:uid="{00000000-0005-0000-0000-00007A030000}"/>
    <cellStyle name="入力 6" xfId="748" xr:uid="{00000000-0005-0000-0000-00007B030000}"/>
    <cellStyle name="入力 7" xfId="978" xr:uid="{00000000-0005-0000-0000-00007C030000}"/>
    <cellStyle name="標準" xfId="0" builtinId="0"/>
    <cellStyle name="標準 10" xfId="749" xr:uid="{00000000-0005-0000-0000-00007E030000}"/>
    <cellStyle name="標準 10 2" xfId="750" xr:uid="{00000000-0005-0000-0000-00007F030000}"/>
    <cellStyle name="標準 10 3" xfId="751" xr:uid="{00000000-0005-0000-0000-000080030000}"/>
    <cellStyle name="標準 10 3 2" xfId="752" xr:uid="{00000000-0005-0000-0000-000081030000}"/>
    <cellStyle name="標準 10 3 2 2" xfId="986" xr:uid="{00000000-0005-0000-0000-000082030000}"/>
    <cellStyle name="標準 10 3 3" xfId="985" xr:uid="{00000000-0005-0000-0000-000083030000}"/>
    <cellStyle name="標準 11" xfId="753" xr:uid="{00000000-0005-0000-0000-000084030000}"/>
    <cellStyle name="標準 12" xfId="754" xr:uid="{00000000-0005-0000-0000-000085030000}"/>
    <cellStyle name="標準 12 2" xfId="987" xr:uid="{00000000-0005-0000-0000-000086030000}"/>
    <cellStyle name="標準 13" xfId="755" xr:uid="{00000000-0005-0000-0000-000087030000}"/>
    <cellStyle name="標準 14" xfId="756" xr:uid="{00000000-0005-0000-0000-000088030000}"/>
    <cellStyle name="標準 14 2" xfId="757" xr:uid="{00000000-0005-0000-0000-000089030000}"/>
    <cellStyle name="標準 15" xfId="758" xr:uid="{00000000-0005-0000-0000-00008A030000}"/>
    <cellStyle name="標準 15 2" xfId="988" xr:uid="{00000000-0005-0000-0000-00008B030000}"/>
    <cellStyle name="標準 16" xfId="759" xr:uid="{00000000-0005-0000-0000-00008C030000}"/>
    <cellStyle name="標準 17" xfId="760" xr:uid="{00000000-0005-0000-0000-00008D030000}"/>
    <cellStyle name="標準 18" xfId="761" xr:uid="{00000000-0005-0000-0000-00008E030000}"/>
    <cellStyle name="標準 19" xfId="762" xr:uid="{00000000-0005-0000-0000-00008F030000}"/>
    <cellStyle name="標準 19 2" xfId="763" xr:uid="{00000000-0005-0000-0000-000090030000}"/>
    <cellStyle name="標準 19 2 2" xfId="989" xr:uid="{00000000-0005-0000-0000-000091030000}"/>
    <cellStyle name="標準 19 3" xfId="764" xr:uid="{00000000-0005-0000-0000-000092030000}"/>
    <cellStyle name="標準 2" xfId="765" xr:uid="{00000000-0005-0000-0000-000093030000}"/>
    <cellStyle name="標準 2 10" xfId="766" xr:uid="{00000000-0005-0000-0000-000094030000}"/>
    <cellStyle name="標準 2 11" xfId="767" xr:uid="{00000000-0005-0000-0000-000095030000}"/>
    <cellStyle name="標準 2 11 2" xfId="768" xr:uid="{00000000-0005-0000-0000-000096030000}"/>
    <cellStyle name="標準 2 11 2 2" xfId="991" xr:uid="{00000000-0005-0000-0000-000097030000}"/>
    <cellStyle name="標準 2 12" xfId="769" xr:uid="{00000000-0005-0000-0000-000098030000}"/>
    <cellStyle name="標準 2 13" xfId="990" xr:uid="{00000000-0005-0000-0000-000099030000}"/>
    <cellStyle name="標準 2 15" xfId="1010" xr:uid="{FBB828D1-BE59-4C50-9E28-6FA72F631C9B}"/>
    <cellStyle name="標準 2 2" xfId="770" xr:uid="{00000000-0005-0000-0000-00009A030000}"/>
    <cellStyle name="標準 2 3" xfId="771" xr:uid="{00000000-0005-0000-0000-00009B030000}"/>
    <cellStyle name="標準 2 3 2" xfId="772" xr:uid="{00000000-0005-0000-0000-00009C030000}"/>
    <cellStyle name="標準 2 3_委託先仕様書（CAT）（タナックス希望）" xfId="773" xr:uid="{00000000-0005-0000-0000-00009D030000}"/>
    <cellStyle name="標準 2 4" xfId="774" xr:uid="{00000000-0005-0000-0000-00009E030000}"/>
    <cellStyle name="標準 2 5" xfId="775" xr:uid="{00000000-0005-0000-0000-00009F030000}"/>
    <cellStyle name="標準 2 5 2" xfId="776" xr:uid="{00000000-0005-0000-0000-0000A0030000}"/>
    <cellStyle name="標準 2 6" xfId="777" xr:uid="{00000000-0005-0000-0000-0000A1030000}"/>
    <cellStyle name="標準 2 7" xfId="778" xr:uid="{00000000-0005-0000-0000-0000A2030000}"/>
    <cellStyle name="標準 2 7 2" xfId="992" xr:uid="{00000000-0005-0000-0000-0000A3030000}"/>
    <cellStyle name="標準 2 8" xfId="779" xr:uid="{00000000-0005-0000-0000-0000A4030000}"/>
    <cellStyle name="標準 2 9" xfId="780" xr:uid="{00000000-0005-0000-0000-0000A5030000}"/>
    <cellStyle name="標準 2_2011代品依頼" xfId="781" xr:uid="{00000000-0005-0000-0000-0000A6030000}"/>
    <cellStyle name="標準 20" xfId="782" xr:uid="{00000000-0005-0000-0000-0000A7030000}"/>
    <cellStyle name="標準 21" xfId="783" xr:uid="{00000000-0005-0000-0000-0000A8030000}"/>
    <cellStyle name="標準 21 2" xfId="784" xr:uid="{00000000-0005-0000-0000-0000A9030000}"/>
    <cellStyle name="標準 22" xfId="785" xr:uid="{00000000-0005-0000-0000-0000AA030000}"/>
    <cellStyle name="標準 23" xfId="786" xr:uid="{00000000-0005-0000-0000-0000AB030000}"/>
    <cellStyle name="標準 24" xfId="787" xr:uid="{00000000-0005-0000-0000-0000AC030000}"/>
    <cellStyle name="標準 25" xfId="788" xr:uid="{00000000-0005-0000-0000-0000AD030000}"/>
    <cellStyle name="標準 26" xfId="840" xr:uid="{00000000-0005-0000-0000-0000AE030000}"/>
    <cellStyle name="標準 27" xfId="839" xr:uid="{00000000-0005-0000-0000-0000AF030000}"/>
    <cellStyle name="標準 3" xfId="789" xr:uid="{00000000-0005-0000-0000-0000B0030000}"/>
    <cellStyle name="標準 3 2" xfId="790" xr:uid="{00000000-0005-0000-0000-0000B1030000}"/>
    <cellStyle name="標準 3 2 2" xfId="993" xr:uid="{00000000-0005-0000-0000-0000B2030000}"/>
    <cellStyle name="標準 3 3" xfId="791" xr:uid="{00000000-0005-0000-0000-0000B3030000}"/>
    <cellStyle name="標準 3_2011代品依頼" xfId="792" xr:uid="{00000000-0005-0000-0000-0000B4030000}"/>
    <cellStyle name="標準 4" xfId="793" xr:uid="{00000000-0005-0000-0000-0000B5030000}"/>
    <cellStyle name="標準 4 2" xfId="794" xr:uid="{00000000-0005-0000-0000-0000B6030000}"/>
    <cellStyle name="標準 4 2 2" xfId="795" xr:uid="{00000000-0005-0000-0000-0000B7030000}"/>
    <cellStyle name="標準 4 2_委託先仕様書（CAT）（タナックス希望）" xfId="796" xr:uid="{00000000-0005-0000-0000-0000B8030000}"/>
    <cellStyle name="標準 4 3" xfId="797" xr:uid="{00000000-0005-0000-0000-0000B9030000}"/>
    <cellStyle name="標準 4 4" xfId="798" xr:uid="{00000000-0005-0000-0000-0000BA030000}"/>
    <cellStyle name="標準 4 4 2" xfId="994" xr:uid="{00000000-0005-0000-0000-0000BB030000}"/>
    <cellStyle name="標準 4 5" xfId="799" xr:uid="{00000000-0005-0000-0000-0000BC030000}"/>
    <cellStyle name="標準 4 5 2" xfId="995" xr:uid="{00000000-0005-0000-0000-0000BD030000}"/>
    <cellStyle name="標準 4 6" xfId="800" xr:uid="{00000000-0005-0000-0000-0000BE030000}"/>
    <cellStyle name="標準 4 6 2" xfId="996" xr:uid="{00000000-0005-0000-0000-0000BF030000}"/>
    <cellStyle name="標準 4 7" xfId="801" xr:uid="{00000000-0005-0000-0000-0000C0030000}"/>
    <cellStyle name="標準 4 7 2" xfId="997" xr:uid="{00000000-0005-0000-0000-0000C1030000}"/>
    <cellStyle name="標準 4 8" xfId="802" xr:uid="{00000000-0005-0000-0000-0000C2030000}"/>
    <cellStyle name="標準 4 8 2" xfId="998" xr:uid="{00000000-0005-0000-0000-0000C3030000}"/>
    <cellStyle name="標準 4_委託先仕様書（CAT）（タナックス希望）" xfId="803" xr:uid="{00000000-0005-0000-0000-0000C4030000}"/>
    <cellStyle name="標準 5" xfId="804" xr:uid="{00000000-0005-0000-0000-0000C5030000}"/>
    <cellStyle name="標準 5 2" xfId="805" xr:uid="{00000000-0005-0000-0000-0000C6030000}"/>
    <cellStyle name="標準 5 2 2" xfId="999" xr:uid="{00000000-0005-0000-0000-0000C7030000}"/>
    <cellStyle name="標準 5 3" xfId="806" xr:uid="{00000000-0005-0000-0000-0000C8030000}"/>
    <cellStyle name="標準 5 4" xfId="1012" xr:uid="{76F0B956-C778-44A2-8676-AE4C8659046A}"/>
    <cellStyle name="標準 55" xfId="807" xr:uid="{00000000-0005-0000-0000-0000C9030000}"/>
    <cellStyle name="標準 55 2" xfId="1000" xr:uid="{00000000-0005-0000-0000-0000CA030000}"/>
    <cellStyle name="標準 57" xfId="808" xr:uid="{00000000-0005-0000-0000-0000CB030000}"/>
    <cellStyle name="標準 57 2" xfId="1001" xr:uid="{00000000-0005-0000-0000-0000CC030000}"/>
    <cellStyle name="標準 6" xfId="809" xr:uid="{00000000-0005-0000-0000-0000CD030000}"/>
    <cellStyle name="標準 6 2" xfId="810" xr:uid="{00000000-0005-0000-0000-0000CE030000}"/>
    <cellStyle name="標準 6_委託先仕様書（CAT）（タナックス希望）" xfId="811" xr:uid="{00000000-0005-0000-0000-0000CF030000}"/>
    <cellStyle name="標準 68" xfId="812" xr:uid="{00000000-0005-0000-0000-0000D0030000}"/>
    <cellStyle name="標準 68 2" xfId="1002" xr:uid="{00000000-0005-0000-0000-0000D1030000}"/>
    <cellStyle name="標準 7" xfId="813" xr:uid="{00000000-0005-0000-0000-0000D2030000}"/>
    <cellStyle name="標準 7 2" xfId="814" xr:uid="{00000000-0005-0000-0000-0000D3030000}"/>
    <cellStyle name="標準 7 3" xfId="815" xr:uid="{00000000-0005-0000-0000-0000D4030000}"/>
    <cellStyle name="標準 7 4" xfId="1003" xr:uid="{00000000-0005-0000-0000-0000D5030000}"/>
    <cellStyle name="標準 7 4 2" xfId="1014" xr:uid="{FC239D02-57C8-467F-A505-DEAC2DF0C6C8}"/>
    <cellStyle name="標準 7 5" xfId="1009" xr:uid="{9C58868B-253E-40AC-B324-99EFC29D7A6F}"/>
    <cellStyle name="標準 71" xfId="1015" xr:uid="{826A1465-9516-44AA-932F-33C9DF7A8A1E}"/>
    <cellStyle name="標準 72" xfId="1011" xr:uid="{2D72C9A7-0653-4093-98B5-93ACB58E36E2}"/>
    <cellStyle name="標準 74" xfId="838" xr:uid="{00000000-0005-0000-0000-0000D6030000}"/>
    <cellStyle name="標準 76" xfId="1008" xr:uid="{616C282D-E21B-4023-A90D-798143492B39}"/>
    <cellStyle name="標準 76 2" xfId="1013" xr:uid="{2AACA0ED-6A87-4D6F-B6FD-E8CE0B7ACB2C}"/>
    <cellStyle name="標準 8" xfId="816" xr:uid="{00000000-0005-0000-0000-0000D7030000}"/>
    <cellStyle name="標準 8 2" xfId="817" xr:uid="{00000000-0005-0000-0000-0000D8030000}"/>
    <cellStyle name="標準 8 3" xfId="818" xr:uid="{00000000-0005-0000-0000-0000D9030000}"/>
    <cellStyle name="標準 81" xfId="819" xr:uid="{00000000-0005-0000-0000-0000DA030000}"/>
    <cellStyle name="標準 81 2" xfId="1004" xr:uid="{00000000-0005-0000-0000-0000DB030000}"/>
    <cellStyle name="標準 9" xfId="820" xr:uid="{00000000-0005-0000-0000-0000DC030000}"/>
    <cellStyle name="標準 9 2" xfId="821" xr:uid="{00000000-0005-0000-0000-0000DD030000}"/>
    <cellStyle name="標準 9 3" xfId="822" xr:uid="{00000000-0005-0000-0000-0000DE030000}"/>
    <cellStyle name="標準 9 4" xfId="823" xr:uid="{00000000-0005-0000-0000-0000DF030000}"/>
    <cellStyle name="標準 9 5" xfId="824" xr:uid="{00000000-0005-0000-0000-0000E0030000}"/>
    <cellStyle name="標準_出荷指示レイアウト" xfId="1007" xr:uid="{D9E1BEF5-3771-4F1F-A140-87E3A31782F9}"/>
    <cellStyle name="不良" xfId="825" xr:uid="{00000000-0005-0000-0000-0000E1030000}"/>
    <cellStyle name="普通" xfId="826" xr:uid="{00000000-0005-0000-0000-0000E2030000}"/>
    <cellStyle name="未定義" xfId="827" xr:uid="{00000000-0005-0000-0000-0000E3030000}"/>
    <cellStyle name="良" xfId="828" xr:uid="{00000000-0005-0000-0000-0000E4030000}"/>
    <cellStyle name="良_SAPIX　収支シュミレーション表" xfId="829" xr:uid="{00000000-0005-0000-0000-0000E5030000}"/>
    <cellStyle name="良い" xfId="830" builtinId="26" customBuiltin="1"/>
    <cellStyle name="良い 2" xfId="831" xr:uid="{00000000-0005-0000-0000-0000E7030000}"/>
    <cellStyle name="良い 3" xfId="832" xr:uid="{00000000-0005-0000-0000-0000E8030000}"/>
    <cellStyle name="良い 3 2" xfId="833" xr:uid="{00000000-0005-0000-0000-0000E9030000}"/>
    <cellStyle name="良い 4" xfId="834" xr:uid="{00000000-0005-0000-0000-0000EA030000}"/>
    <cellStyle name="良い 4 2" xfId="835" xr:uid="{00000000-0005-0000-0000-0000EB030000}"/>
    <cellStyle name="良い 5" xfId="836" xr:uid="{00000000-0005-0000-0000-0000EC030000}"/>
    <cellStyle name="良い 6" xfId="837" xr:uid="{00000000-0005-0000-0000-0000ED030000}"/>
    <cellStyle name="良い 7" xfId="1005" xr:uid="{00000000-0005-0000-0000-0000EE030000}"/>
  </cellStyles>
  <dxfs count="0"/>
  <tableStyles count="0" defaultTableStyle="TableStyleMedium2" defaultPivotStyle="PivotStyleLight16"/>
  <colors>
    <mruColors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419031</xdr:colOff>
      <xdr:row>95</xdr:row>
      <xdr:rowOff>36793</xdr:rowOff>
    </xdr:from>
    <xdr:to>
      <xdr:col>17</xdr:col>
      <xdr:colOff>140911</xdr:colOff>
      <xdr:row>108</xdr:row>
      <xdr:rowOff>212050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47CFB0-3D35-924D-79E7-0D47AAC5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26031" y="28900429"/>
          <a:ext cx="3950692" cy="317339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EAN(JAN)/ UPC</v>
  </rv>
  <rv s="0">
    <v>1</v>
    <v>5</v>
    <v>EAN(JAN)/ UPC</v>
  </rv>
  <rv s="0">
    <v>2</v>
    <v>5</v>
    <v>EAN(JAN)/ UPC</v>
  </rv>
  <rv s="0">
    <v>3</v>
    <v>5</v>
    <v>EAN(JAN)/ UPC</v>
  </rv>
  <rv s="0">
    <v>4</v>
    <v>5</v>
    <v>EAN(JAN)/ UPC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horzOverflow="clip" wrap="square" lIns="18288" tIns="0" rIns="0" bIns="0" rtlCol="0" anchor="t" upright="1"/>
      <a:lstStyle>
        <a:defPPr algn="l">
          <a:defRPr kumimoji="1" sz="800">
            <a:latin typeface="ＭＳ ゴシック" panose="020B0609070205080204" pitchFamily="49" charset="-128"/>
            <a:ea typeface="ＭＳ ゴシック" panose="020B0609070205080204" pitchFamily="49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B058-E06A-4B33-AEF1-F1D33E1FD4D5}">
  <sheetPr>
    <tabColor rgb="FF7030A0"/>
  </sheetPr>
  <dimension ref="A1:S153"/>
  <sheetViews>
    <sheetView zoomScaleNormal="100" workbookViewId="0">
      <pane xSplit="5" ySplit="6" topLeftCell="F127" activePane="bottomRight" state="frozen"/>
      <selection pane="topRight" activeCell="F1" sqref="F1"/>
      <selection pane="bottomLeft" activeCell="A7" sqref="A7"/>
      <selection pane="bottomRight" activeCell="D13" sqref="D13"/>
    </sheetView>
  </sheetViews>
  <sheetFormatPr defaultColWidth="9" defaultRowHeight="16"/>
  <cols>
    <col min="1" max="1" width="6.90625" style="37" customWidth="1"/>
    <col min="2" max="2" width="29.08984375" style="37" customWidth="1"/>
    <col min="3" max="3" width="25.90625" style="124" customWidth="1"/>
    <col min="4" max="4" width="22.54296875" style="124" bestFit="1" customWidth="1"/>
    <col min="5" max="5" width="10.1796875" style="124" bestFit="1" customWidth="1"/>
    <col min="6" max="6" width="9" style="125"/>
    <col min="7" max="7" width="9" style="126"/>
    <col min="8" max="8" width="9" style="125"/>
    <col min="9" max="9" width="27" style="37" customWidth="1"/>
    <col min="10" max="10" width="15.26953125" style="37" bestFit="1" customWidth="1"/>
    <col min="11" max="11" width="59.81640625" style="37" customWidth="1"/>
    <col min="12" max="12" width="15.81640625" style="37" customWidth="1"/>
    <col min="13" max="16384" width="9" style="37"/>
  </cols>
  <sheetData>
    <row r="1" spans="1:19">
      <c r="A1" s="38" t="s">
        <v>15</v>
      </c>
      <c r="B1" s="39"/>
      <c r="C1" s="39"/>
      <c r="D1" s="40" t="s">
        <v>16</v>
      </c>
      <c r="E1" s="40"/>
      <c r="F1" s="40"/>
      <c r="G1" s="40"/>
      <c r="H1" s="41"/>
      <c r="I1" s="42" t="s">
        <v>17</v>
      </c>
      <c r="J1" s="43"/>
      <c r="K1" s="44" t="s">
        <v>9</v>
      </c>
    </row>
    <row r="2" spans="1:19">
      <c r="A2" s="45" t="s">
        <v>18</v>
      </c>
      <c r="B2" s="46"/>
      <c r="C2" s="46"/>
      <c r="D2" s="47" t="s">
        <v>19</v>
      </c>
      <c r="E2" s="47"/>
      <c r="F2" s="47"/>
      <c r="G2" s="47"/>
      <c r="H2" s="48"/>
      <c r="I2" s="49" t="s">
        <v>20</v>
      </c>
      <c r="J2" s="50"/>
      <c r="K2" s="51" t="s">
        <v>21</v>
      </c>
    </row>
    <row r="3" spans="1:19" ht="16.5" thickBot="1">
      <c r="A3" s="52" t="s">
        <v>22</v>
      </c>
      <c r="B3" s="53"/>
      <c r="C3" s="53"/>
      <c r="D3" s="54" t="s">
        <v>23</v>
      </c>
      <c r="E3" s="55"/>
      <c r="F3" s="56"/>
      <c r="G3" s="56"/>
      <c r="H3" s="57"/>
      <c r="I3" s="58" t="s">
        <v>24</v>
      </c>
      <c r="J3" s="59"/>
      <c r="K3" s="60"/>
    </row>
    <row r="4" spans="1:19">
      <c r="A4" s="61" t="s">
        <v>203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2"/>
      <c r="M4" s="62"/>
      <c r="N4" s="62"/>
      <c r="O4" s="62"/>
      <c r="P4" s="62"/>
      <c r="Q4" s="62"/>
      <c r="R4" s="62"/>
      <c r="S4" s="62"/>
    </row>
    <row r="5" spans="1:19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9" s="71" customFormat="1" ht="32.5" thickBot="1">
      <c r="A6" s="64" t="s">
        <v>10</v>
      </c>
      <c r="B6" s="65" t="s">
        <v>25</v>
      </c>
      <c r="C6" s="65"/>
      <c r="D6" s="65"/>
      <c r="E6" s="65"/>
      <c r="F6" s="66" t="s">
        <v>26</v>
      </c>
      <c r="G6" s="67" t="s">
        <v>27</v>
      </c>
      <c r="H6" s="64" t="s">
        <v>28</v>
      </c>
      <c r="I6" s="68" t="s">
        <v>29</v>
      </c>
      <c r="J6" s="69"/>
      <c r="K6" s="70"/>
    </row>
    <row r="7" spans="1:19" s="107" customFormat="1" ht="32.5" thickTop="1">
      <c r="A7" s="103">
        <v>1</v>
      </c>
      <c r="B7" s="104" t="s">
        <v>1275</v>
      </c>
      <c r="C7" s="104"/>
      <c r="D7" s="104"/>
      <c r="E7" s="104"/>
      <c r="F7" s="103">
        <v>8</v>
      </c>
      <c r="G7" s="105" t="s">
        <v>11</v>
      </c>
      <c r="H7" s="103" t="s">
        <v>31</v>
      </c>
      <c r="I7" s="166" t="s">
        <v>1276</v>
      </c>
      <c r="J7" s="103" t="s">
        <v>116</v>
      </c>
      <c r="K7" s="166" t="s">
        <v>38</v>
      </c>
    </row>
    <row r="8" spans="1:19">
      <c r="A8" s="72">
        <v>2</v>
      </c>
      <c r="B8" s="73" t="s">
        <v>30</v>
      </c>
      <c r="C8" s="74"/>
      <c r="D8" s="74"/>
      <c r="E8" s="75"/>
      <c r="F8" s="76">
        <v>36</v>
      </c>
      <c r="G8" s="77" t="s">
        <v>11</v>
      </c>
      <c r="H8" s="76" t="s">
        <v>31</v>
      </c>
      <c r="I8" s="78"/>
      <c r="J8" s="76" t="s">
        <v>32</v>
      </c>
      <c r="K8" s="79" t="s">
        <v>33</v>
      </c>
    </row>
    <row r="9" spans="1:19">
      <c r="A9" s="80"/>
      <c r="B9" s="81"/>
      <c r="C9" s="82"/>
      <c r="D9" s="82"/>
      <c r="E9" s="83"/>
      <c r="F9" s="84">
        <v>36</v>
      </c>
      <c r="G9" s="85" t="s">
        <v>11</v>
      </c>
      <c r="H9" s="84" t="s">
        <v>31</v>
      </c>
      <c r="I9" s="86"/>
      <c r="J9" s="84" t="s">
        <v>34</v>
      </c>
      <c r="K9" s="87" t="s">
        <v>35</v>
      </c>
    </row>
    <row r="10" spans="1:19">
      <c r="A10" s="88"/>
      <c r="B10" s="89"/>
      <c r="C10" s="90"/>
      <c r="D10" s="90"/>
      <c r="E10" s="91"/>
      <c r="F10" s="84">
        <v>36</v>
      </c>
      <c r="G10" s="85" t="s">
        <v>11</v>
      </c>
      <c r="H10" s="84" t="s">
        <v>36</v>
      </c>
      <c r="I10" s="86"/>
      <c r="J10" s="84" t="s">
        <v>34</v>
      </c>
      <c r="K10" s="87" t="s">
        <v>35</v>
      </c>
    </row>
    <row r="11" spans="1:19" ht="32">
      <c r="A11" s="84">
        <f>ROW()-8</f>
        <v>3</v>
      </c>
      <c r="B11" s="92" t="s">
        <v>37</v>
      </c>
      <c r="C11" s="92"/>
      <c r="D11" s="92"/>
      <c r="E11" s="92"/>
      <c r="F11" s="84">
        <v>20</v>
      </c>
      <c r="G11" s="85" t="s">
        <v>11</v>
      </c>
      <c r="H11" s="84" t="s">
        <v>31</v>
      </c>
      <c r="I11" s="87" t="s">
        <v>1277</v>
      </c>
      <c r="J11" s="84" t="s">
        <v>116</v>
      </c>
      <c r="K11" s="87" t="s">
        <v>38</v>
      </c>
    </row>
    <row r="12" spans="1:19" ht="32">
      <c r="A12" s="84">
        <f t="shared" ref="A12:A75" si="0">ROW()-8</f>
        <v>4</v>
      </c>
      <c r="B12" s="92" t="s">
        <v>39</v>
      </c>
      <c r="C12" s="92"/>
      <c r="D12" s="92"/>
      <c r="E12" s="92"/>
      <c r="F12" s="84">
        <v>20</v>
      </c>
      <c r="G12" s="85" t="s">
        <v>11</v>
      </c>
      <c r="H12" s="84" t="s">
        <v>31</v>
      </c>
      <c r="I12" s="87">
        <v>1234567890</v>
      </c>
      <c r="J12" s="86" t="s">
        <v>92</v>
      </c>
      <c r="K12" s="87" t="s">
        <v>40</v>
      </c>
    </row>
    <row r="13" spans="1:19" s="107" customFormat="1" ht="32">
      <c r="A13" s="103">
        <f t="shared" si="0"/>
        <v>5</v>
      </c>
      <c r="B13" s="134" t="s">
        <v>90</v>
      </c>
      <c r="C13" s="134" t="s">
        <v>205</v>
      </c>
      <c r="D13" s="134" t="s">
        <v>113</v>
      </c>
      <c r="E13" s="134" t="s">
        <v>117</v>
      </c>
      <c r="F13" s="103">
        <v>20</v>
      </c>
      <c r="G13" s="105" t="s">
        <v>11</v>
      </c>
      <c r="H13" s="103" t="s">
        <v>36</v>
      </c>
      <c r="I13" s="106">
        <v>3875762335</v>
      </c>
      <c r="J13" s="106"/>
      <c r="K13" s="166" t="s">
        <v>41</v>
      </c>
    </row>
    <row r="14" spans="1:19" s="107" customFormat="1" ht="32">
      <c r="A14" s="103">
        <f t="shared" si="0"/>
        <v>6</v>
      </c>
      <c r="B14" s="134" t="s">
        <v>90</v>
      </c>
      <c r="C14" s="134" t="s">
        <v>91</v>
      </c>
      <c r="D14" s="134" t="s">
        <v>113</v>
      </c>
      <c r="E14" s="134" t="s">
        <v>117</v>
      </c>
      <c r="F14" s="103">
        <v>20</v>
      </c>
      <c r="G14" s="105" t="s">
        <v>11</v>
      </c>
      <c r="H14" s="103" t="s">
        <v>36</v>
      </c>
      <c r="I14" s="106">
        <v>3875762335</v>
      </c>
      <c r="J14" s="106"/>
      <c r="K14" s="166" t="s">
        <v>41</v>
      </c>
    </row>
    <row r="15" spans="1:19" s="107" customFormat="1" ht="32">
      <c r="A15" s="103">
        <f t="shared" si="0"/>
        <v>7</v>
      </c>
      <c r="B15" s="134" t="s">
        <v>90</v>
      </c>
      <c r="C15" s="134" t="s">
        <v>206</v>
      </c>
      <c r="D15" s="134" t="s">
        <v>113</v>
      </c>
      <c r="E15" s="134" t="s">
        <v>117</v>
      </c>
      <c r="F15" s="103">
        <v>20</v>
      </c>
      <c r="G15" s="105" t="s">
        <v>11</v>
      </c>
      <c r="H15" s="103" t="s">
        <v>36</v>
      </c>
      <c r="I15" s="106">
        <v>3875762335</v>
      </c>
      <c r="J15" s="106"/>
      <c r="K15" s="166" t="s">
        <v>41</v>
      </c>
    </row>
    <row r="16" spans="1:19" s="107" customFormat="1" ht="32">
      <c r="A16" s="103">
        <f t="shared" si="0"/>
        <v>8</v>
      </c>
      <c r="B16" s="134" t="s">
        <v>90</v>
      </c>
      <c r="C16" s="134" t="s">
        <v>207</v>
      </c>
      <c r="D16" s="134" t="s">
        <v>113</v>
      </c>
      <c r="E16" s="134" t="s">
        <v>117</v>
      </c>
      <c r="F16" s="103">
        <v>20</v>
      </c>
      <c r="G16" s="105" t="s">
        <v>11</v>
      </c>
      <c r="H16" s="103" t="s">
        <v>36</v>
      </c>
      <c r="I16" s="106">
        <v>3875762335</v>
      </c>
      <c r="J16" s="106"/>
      <c r="K16" s="166" t="s">
        <v>41</v>
      </c>
    </row>
    <row r="17" spans="1:11" s="107" customFormat="1" ht="32">
      <c r="A17" s="103">
        <f t="shared" si="0"/>
        <v>9</v>
      </c>
      <c r="B17" s="134" t="s">
        <v>90</v>
      </c>
      <c r="C17" s="134" t="s">
        <v>208</v>
      </c>
      <c r="D17" s="134" t="s">
        <v>113</v>
      </c>
      <c r="E17" s="134"/>
      <c r="F17" s="103">
        <v>20</v>
      </c>
      <c r="G17" s="105" t="s">
        <v>11</v>
      </c>
      <c r="H17" s="103" t="s">
        <v>36</v>
      </c>
      <c r="I17" s="106">
        <v>3875762335</v>
      </c>
      <c r="J17" s="106"/>
      <c r="K17" s="166" t="s">
        <v>41</v>
      </c>
    </row>
    <row r="18" spans="1:11" s="107" customFormat="1" ht="32">
      <c r="A18" s="103">
        <f t="shared" si="0"/>
        <v>10</v>
      </c>
      <c r="B18" s="134" t="s">
        <v>90</v>
      </c>
      <c r="C18" s="134" t="s">
        <v>209</v>
      </c>
      <c r="D18" s="134" t="s">
        <v>113</v>
      </c>
      <c r="E18" s="134"/>
      <c r="F18" s="103">
        <v>20</v>
      </c>
      <c r="G18" s="105" t="s">
        <v>11</v>
      </c>
      <c r="H18" s="103" t="s">
        <v>36</v>
      </c>
      <c r="I18" s="106">
        <v>3875762335</v>
      </c>
      <c r="J18" s="106"/>
      <c r="K18" s="166" t="s">
        <v>41</v>
      </c>
    </row>
    <row r="19" spans="1:11" s="107" customFormat="1" ht="32">
      <c r="A19" s="103">
        <f t="shared" si="0"/>
        <v>11</v>
      </c>
      <c r="B19" s="134" t="s">
        <v>90</v>
      </c>
      <c r="C19" s="134" t="s">
        <v>210</v>
      </c>
      <c r="D19" s="134" t="s">
        <v>113</v>
      </c>
      <c r="E19" s="134"/>
      <c r="F19" s="103">
        <v>20</v>
      </c>
      <c r="G19" s="105" t="s">
        <v>11</v>
      </c>
      <c r="H19" s="103" t="s">
        <v>36</v>
      </c>
      <c r="I19" s="106">
        <v>3875762335</v>
      </c>
      <c r="J19" s="106"/>
      <c r="K19" s="166" t="s">
        <v>41</v>
      </c>
    </row>
    <row r="20" spans="1:11" s="107" customFormat="1" ht="32">
      <c r="A20" s="103">
        <f t="shared" si="0"/>
        <v>12</v>
      </c>
      <c r="B20" s="134" t="s">
        <v>90</v>
      </c>
      <c r="C20" s="134" t="s">
        <v>211</v>
      </c>
      <c r="D20" s="134" t="s">
        <v>113</v>
      </c>
      <c r="E20" s="134"/>
      <c r="F20" s="103">
        <v>20</v>
      </c>
      <c r="G20" s="105" t="s">
        <v>11</v>
      </c>
      <c r="H20" s="103" t="s">
        <v>36</v>
      </c>
      <c r="I20" s="106">
        <v>3875762335</v>
      </c>
      <c r="J20" s="106"/>
      <c r="K20" s="166" t="s">
        <v>41</v>
      </c>
    </row>
    <row r="21" spans="1:11" s="107" customFormat="1" ht="32">
      <c r="A21" s="103">
        <f t="shared" si="0"/>
        <v>13</v>
      </c>
      <c r="B21" s="134" t="s">
        <v>90</v>
      </c>
      <c r="C21" s="134" t="s">
        <v>212</v>
      </c>
      <c r="D21" s="134" t="s">
        <v>113</v>
      </c>
      <c r="E21" s="134"/>
      <c r="F21" s="103">
        <v>20</v>
      </c>
      <c r="G21" s="105" t="s">
        <v>11</v>
      </c>
      <c r="H21" s="103" t="s">
        <v>36</v>
      </c>
      <c r="I21" s="106">
        <v>3875762335</v>
      </c>
      <c r="J21" s="106"/>
      <c r="K21" s="166" t="s">
        <v>41</v>
      </c>
    </row>
    <row r="22" spans="1:11" s="107" customFormat="1" ht="32">
      <c r="A22" s="103">
        <f t="shared" si="0"/>
        <v>14</v>
      </c>
      <c r="B22" s="134" t="s">
        <v>90</v>
      </c>
      <c r="C22" s="134" t="s">
        <v>213</v>
      </c>
      <c r="D22" s="134" t="s">
        <v>113</v>
      </c>
      <c r="E22" s="134"/>
      <c r="F22" s="103">
        <v>20</v>
      </c>
      <c r="G22" s="105" t="s">
        <v>11</v>
      </c>
      <c r="H22" s="103" t="s">
        <v>36</v>
      </c>
      <c r="I22" s="106">
        <v>3875762335</v>
      </c>
      <c r="J22" s="106"/>
      <c r="K22" s="166" t="s">
        <v>41</v>
      </c>
    </row>
    <row r="23" spans="1:11" s="107" customFormat="1" ht="32">
      <c r="A23" s="103">
        <f t="shared" si="0"/>
        <v>15</v>
      </c>
      <c r="B23" s="134" t="s">
        <v>90</v>
      </c>
      <c r="C23" s="134" t="s">
        <v>214</v>
      </c>
      <c r="D23" s="134" t="s">
        <v>113</v>
      </c>
      <c r="E23" s="134"/>
      <c r="F23" s="103">
        <v>20</v>
      </c>
      <c r="G23" s="105" t="s">
        <v>11</v>
      </c>
      <c r="H23" s="103" t="s">
        <v>36</v>
      </c>
      <c r="I23" s="106">
        <v>3875762335</v>
      </c>
      <c r="J23" s="106"/>
      <c r="K23" s="166" t="s">
        <v>41</v>
      </c>
    </row>
    <row r="24" spans="1:11" s="107" customFormat="1" ht="32">
      <c r="A24" s="103">
        <f t="shared" si="0"/>
        <v>16</v>
      </c>
      <c r="B24" s="134" t="s">
        <v>90</v>
      </c>
      <c r="C24" s="134" t="s">
        <v>215</v>
      </c>
      <c r="D24" s="134" t="s">
        <v>113</v>
      </c>
      <c r="E24" s="134"/>
      <c r="F24" s="103">
        <v>20</v>
      </c>
      <c r="G24" s="105" t="s">
        <v>11</v>
      </c>
      <c r="H24" s="103" t="s">
        <v>36</v>
      </c>
      <c r="I24" s="106">
        <v>3875762335</v>
      </c>
      <c r="J24" s="106"/>
      <c r="K24" s="166" t="s">
        <v>41</v>
      </c>
    </row>
    <row r="25" spans="1:11" s="107" customFormat="1" ht="32">
      <c r="A25" s="103">
        <f t="shared" si="0"/>
        <v>17</v>
      </c>
      <c r="B25" s="134" t="s">
        <v>90</v>
      </c>
      <c r="C25" s="134" t="s">
        <v>216</v>
      </c>
      <c r="D25" s="134" t="s">
        <v>113</v>
      </c>
      <c r="E25" s="134"/>
      <c r="F25" s="103">
        <v>20</v>
      </c>
      <c r="G25" s="105" t="s">
        <v>11</v>
      </c>
      <c r="H25" s="103" t="s">
        <v>36</v>
      </c>
      <c r="I25" s="106">
        <v>3875762335</v>
      </c>
      <c r="J25" s="106"/>
      <c r="K25" s="166" t="s">
        <v>41</v>
      </c>
    </row>
    <row r="26" spans="1:11" s="107" customFormat="1" ht="32">
      <c r="A26" s="103">
        <f t="shared" si="0"/>
        <v>18</v>
      </c>
      <c r="B26" s="134" t="s">
        <v>90</v>
      </c>
      <c r="C26" s="134" t="s">
        <v>217</v>
      </c>
      <c r="D26" s="134" t="s">
        <v>113</v>
      </c>
      <c r="E26" s="134"/>
      <c r="F26" s="103">
        <v>20</v>
      </c>
      <c r="G26" s="105" t="s">
        <v>11</v>
      </c>
      <c r="H26" s="103" t="s">
        <v>36</v>
      </c>
      <c r="I26" s="106">
        <v>3875762335</v>
      </c>
      <c r="J26" s="106"/>
      <c r="K26" s="166" t="s">
        <v>41</v>
      </c>
    </row>
    <row r="27" spans="1:11" s="107" customFormat="1" ht="32">
      <c r="A27" s="103">
        <f t="shared" si="0"/>
        <v>19</v>
      </c>
      <c r="B27" s="134" t="s">
        <v>90</v>
      </c>
      <c r="C27" s="134" t="s">
        <v>218</v>
      </c>
      <c r="D27" s="134" t="s">
        <v>113</v>
      </c>
      <c r="E27" s="134"/>
      <c r="F27" s="103">
        <v>20</v>
      </c>
      <c r="G27" s="105" t="s">
        <v>11</v>
      </c>
      <c r="H27" s="103" t="s">
        <v>36</v>
      </c>
      <c r="I27" s="106">
        <v>3875762335</v>
      </c>
      <c r="J27" s="106"/>
      <c r="K27" s="166" t="s">
        <v>41</v>
      </c>
    </row>
    <row r="28" spans="1:11" s="107" customFormat="1" ht="32">
      <c r="A28" s="103">
        <f t="shared" si="0"/>
        <v>20</v>
      </c>
      <c r="B28" s="134" t="s">
        <v>90</v>
      </c>
      <c r="C28" s="134" t="s">
        <v>219</v>
      </c>
      <c r="D28" s="134" t="s">
        <v>113</v>
      </c>
      <c r="E28" s="134"/>
      <c r="F28" s="103">
        <v>20</v>
      </c>
      <c r="G28" s="105" t="s">
        <v>11</v>
      </c>
      <c r="H28" s="103" t="s">
        <v>36</v>
      </c>
      <c r="I28" s="106">
        <v>3875762335</v>
      </c>
      <c r="J28" s="106"/>
      <c r="K28" s="166" t="s">
        <v>41</v>
      </c>
    </row>
    <row r="29" spans="1:11" s="107" customFormat="1" ht="32">
      <c r="A29" s="103">
        <f t="shared" si="0"/>
        <v>21</v>
      </c>
      <c r="B29" s="134" t="s">
        <v>90</v>
      </c>
      <c r="C29" s="134" t="s">
        <v>220</v>
      </c>
      <c r="D29" s="134" t="s">
        <v>113</v>
      </c>
      <c r="E29" s="134"/>
      <c r="F29" s="103">
        <v>20</v>
      </c>
      <c r="G29" s="105" t="s">
        <v>11</v>
      </c>
      <c r="H29" s="103" t="s">
        <v>36</v>
      </c>
      <c r="I29" s="106">
        <v>3875762335</v>
      </c>
      <c r="J29" s="106"/>
      <c r="K29" s="166" t="s">
        <v>41</v>
      </c>
    </row>
    <row r="30" spans="1:11" s="107" customFormat="1" ht="32">
      <c r="A30" s="103">
        <f t="shared" si="0"/>
        <v>22</v>
      </c>
      <c r="B30" s="134" t="s">
        <v>90</v>
      </c>
      <c r="C30" s="134" t="s">
        <v>221</v>
      </c>
      <c r="D30" s="134" t="s">
        <v>113</v>
      </c>
      <c r="E30" s="134"/>
      <c r="F30" s="103">
        <v>20</v>
      </c>
      <c r="G30" s="105" t="s">
        <v>11</v>
      </c>
      <c r="H30" s="103" t="s">
        <v>36</v>
      </c>
      <c r="I30" s="106">
        <v>3875762335</v>
      </c>
      <c r="J30" s="106"/>
      <c r="K30" s="166" t="s">
        <v>41</v>
      </c>
    </row>
    <row r="31" spans="1:11" s="107" customFormat="1" ht="32">
      <c r="A31" s="103">
        <f t="shared" si="0"/>
        <v>23</v>
      </c>
      <c r="B31" s="134" t="s">
        <v>90</v>
      </c>
      <c r="C31" s="134" t="s">
        <v>222</v>
      </c>
      <c r="D31" s="134" t="s">
        <v>113</v>
      </c>
      <c r="E31" s="134"/>
      <c r="F31" s="103">
        <v>20</v>
      </c>
      <c r="G31" s="105" t="s">
        <v>11</v>
      </c>
      <c r="H31" s="103" t="s">
        <v>36</v>
      </c>
      <c r="I31" s="106">
        <v>3875762335</v>
      </c>
      <c r="J31" s="106"/>
      <c r="K31" s="166" t="s">
        <v>41</v>
      </c>
    </row>
    <row r="32" spans="1:11" s="107" customFormat="1" ht="32">
      <c r="A32" s="103">
        <f t="shared" si="0"/>
        <v>24</v>
      </c>
      <c r="B32" s="134" t="s">
        <v>90</v>
      </c>
      <c r="C32" s="134" t="s">
        <v>223</v>
      </c>
      <c r="D32" s="134" t="s">
        <v>113</v>
      </c>
      <c r="E32" s="134"/>
      <c r="F32" s="103">
        <v>20</v>
      </c>
      <c r="G32" s="105" t="s">
        <v>11</v>
      </c>
      <c r="H32" s="103" t="s">
        <v>36</v>
      </c>
      <c r="I32" s="106">
        <v>3875762335</v>
      </c>
      <c r="J32" s="106"/>
      <c r="K32" s="166" t="s">
        <v>41</v>
      </c>
    </row>
    <row r="33" spans="1:11" s="107" customFormat="1" ht="32">
      <c r="A33" s="103">
        <f t="shared" si="0"/>
        <v>25</v>
      </c>
      <c r="B33" s="134" t="s">
        <v>90</v>
      </c>
      <c r="C33" s="134" t="s">
        <v>224</v>
      </c>
      <c r="D33" s="134" t="s">
        <v>113</v>
      </c>
      <c r="E33" s="134"/>
      <c r="F33" s="103">
        <v>20</v>
      </c>
      <c r="G33" s="105" t="s">
        <v>11</v>
      </c>
      <c r="H33" s="103" t="s">
        <v>36</v>
      </c>
      <c r="I33" s="106">
        <v>3875762335</v>
      </c>
      <c r="J33" s="106"/>
      <c r="K33" s="166" t="s">
        <v>41</v>
      </c>
    </row>
    <row r="34" spans="1:11" s="107" customFormat="1" ht="32">
      <c r="A34" s="103">
        <f t="shared" si="0"/>
        <v>26</v>
      </c>
      <c r="B34" s="134" t="s">
        <v>90</v>
      </c>
      <c r="C34" s="134">
        <v>1</v>
      </c>
      <c r="D34" s="134" t="s">
        <v>113</v>
      </c>
      <c r="E34" s="134"/>
      <c r="F34" s="103">
        <v>20</v>
      </c>
      <c r="G34" s="105" t="s">
        <v>11</v>
      </c>
      <c r="H34" s="103" t="s">
        <v>36</v>
      </c>
      <c r="I34" s="106">
        <v>3875762335</v>
      </c>
      <c r="J34" s="106"/>
      <c r="K34" s="166" t="s">
        <v>41</v>
      </c>
    </row>
    <row r="35" spans="1:11" s="107" customFormat="1" ht="32">
      <c r="A35" s="103">
        <f t="shared" si="0"/>
        <v>27</v>
      </c>
      <c r="B35" s="134" t="s">
        <v>90</v>
      </c>
      <c r="C35" s="134">
        <v>2</v>
      </c>
      <c r="D35" s="134" t="s">
        <v>113</v>
      </c>
      <c r="E35" s="134"/>
      <c r="F35" s="103">
        <v>20</v>
      </c>
      <c r="G35" s="105" t="s">
        <v>11</v>
      </c>
      <c r="H35" s="103" t="s">
        <v>36</v>
      </c>
      <c r="I35" s="106">
        <v>3875762335</v>
      </c>
      <c r="J35" s="106"/>
      <c r="K35" s="166" t="s">
        <v>41</v>
      </c>
    </row>
    <row r="36" spans="1:11" s="107" customFormat="1" ht="32">
      <c r="A36" s="103">
        <f t="shared" si="0"/>
        <v>28</v>
      </c>
      <c r="B36" s="134" t="s">
        <v>90</v>
      </c>
      <c r="C36" s="134">
        <v>3</v>
      </c>
      <c r="D36" s="134" t="s">
        <v>113</v>
      </c>
      <c r="E36" s="134"/>
      <c r="F36" s="103">
        <v>20</v>
      </c>
      <c r="G36" s="105" t="s">
        <v>11</v>
      </c>
      <c r="H36" s="103" t="s">
        <v>36</v>
      </c>
      <c r="I36" s="106">
        <v>3875762335</v>
      </c>
      <c r="J36" s="106"/>
      <c r="K36" s="166" t="s">
        <v>41</v>
      </c>
    </row>
    <row r="37" spans="1:11" s="107" customFormat="1" ht="32">
      <c r="A37" s="103">
        <f t="shared" si="0"/>
        <v>29</v>
      </c>
      <c r="B37" s="134" t="s">
        <v>90</v>
      </c>
      <c r="C37" s="134">
        <v>4</v>
      </c>
      <c r="D37" s="134" t="s">
        <v>113</v>
      </c>
      <c r="E37" s="134"/>
      <c r="F37" s="103">
        <v>20</v>
      </c>
      <c r="G37" s="105" t="s">
        <v>11</v>
      </c>
      <c r="H37" s="103" t="s">
        <v>36</v>
      </c>
      <c r="I37" s="106">
        <v>3875762335</v>
      </c>
      <c r="J37" s="106"/>
      <c r="K37" s="166" t="s">
        <v>41</v>
      </c>
    </row>
    <row r="38" spans="1:11" s="107" customFormat="1" ht="32">
      <c r="A38" s="103">
        <f t="shared" si="0"/>
        <v>30</v>
      </c>
      <c r="B38" s="134" t="s">
        <v>90</v>
      </c>
      <c r="C38" s="134">
        <v>5</v>
      </c>
      <c r="D38" s="134" t="s">
        <v>113</v>
      </c>
      <c r="E38" s="134"/>
      <c r="F38" s="103">
        <v>20</v>
      </c>
      <c r="G38" s="105" t="s">
        <v>11</v>
      </c>
      <c r="H38" s="103" t="s">
        <v>36</v>
      </c>
      <c r="I38" s="106">
        <v>3875762335</v>
      </c>
      <c r="J38" s="106"/>
      <c r="K38" s="166" t="s">
        <v>41</v>
      </c>
    </row>
    <row r="39" spans="1:11" s="107" customFormat="1" ht="32">
      <c r="A39" s="103">
        <f t="shared" si="0"/>
        <v>31</v>
      </c>
      <c r="B39" s="134" t="s">
        <v>90</v>
      </c>
      <c r="C39" s="134">
        <v>6</v>
      </c>
      <c r="D39" s="134" t="s">
        <v>113</v>
      </c>
      <c r="E39" s="134"/>
      <c r="F39" s="103">
        <v>20</v>
      </c>
      <c r="G39" s="105" t="s">
        <v>11</v>
      </c>
      <c r="H39" s="103" t="s">
        <v>36</v>
      </c>
      <c r="I39" s="106">
        <v>3875762335</v>
      </c>
      <c r="J39" s="106"/>
      <c r="K39" s="166" t="s">
        <v>41</v>
      </c>
    </row>
    <row r="40" spans="1:11" s="107" customFormat="1" ht="32">
      <c r="A40" s="103">
        <f t="shared" si="0"/>
        <v>32</v>
      </c>
      <c r="B40" s="134" t="s">
        <v>90</v>
      </c>
      <c r="C40" s="134">
        <v>7</v>
      </c>
      <c r="D40" s="134" t="s">
        <v>113</v>
      </c>
      <c r="E40" s="134"/>
      <c r="F40" s="103">
        <v>20</v>
      </c>
      <c r="G40" s="105" t="s">
        <v>11</v>
      </c>
      <c r="H40" s="103" t="s">
        <v>36</v>
      </c>
      <c r="I40" s="106">
        <v>3875762335</v>
      </c>
      <c r="J40" s="106"/>
      <c r="K40" s="166" t="s">
        <v>41</v>
      </c>
    </row>
    <row r="41" spans="1:11" s="107" customFormat="1" ht="32">
      <c r="A41" s="103">
        <f t="shared" si="0"/>
        <v>33</v>
      </c>
      <c r="B41" s="134" t="s">
        <v>90</v>
      </c>
      <c r="C41" s="134">
        <v>8</v>
      </c>
      <c r="D41" s="134" t="s">
        <v>113</v>
      </c>
      <c r="E41" s="134"/>
      <c r="F41" s="103">
        <v>20</v>
      </c>
      <c r="G41" s="105" t="s">
        <v>11</v>
      </c>
      <c r="H41" s="103" t="s">
        <v>36</v>
      </c>
      <c r="I41" s="106">
        <v>3875762335</v>
      </c>
      <c r="J41" s="106"/>
      <c r="K41" s="166" t="s">
        <v>41</v>
      </c>
    </row>
    <row r="42" spans="1:11" s="107" customFormat="1" ht="32">
      <c r="A42" s="103">
        <f t="shared" si="0"/>
        <v>34</v>
      </c>
      <c r="B42" s="134" t="s">
        <v>90</v>
      </c>
      <c r="C42" s="134">
        <v>9</v>
      </c>
      <c r="D42" s="134" t="s">
        <v>113</v>
      </c>
      <c r="E42" s="134"/>
      <c r="F42" s="103">
        <v>20</v>
      </c>
      <c r="G42" s="105" t="s">
        <v>11</v>
      </c>
      <c r="H42" s="103" t="s">
        <v>36</v>
      </c>
      <c r="I42" s="106">
        <v>3875762335</v>
      </c>
      <c r="J42" s="106"/>
      <c r="K42" s="166" t="s">
        <v>41</v>
      </c>
    </row>
    <row r="43" spans="1:11" s="107" customFormat="1" ht="32">
      <c r="A43" s="103">
        <f t="shared" si="0"/>
        <v>35</v>
      </c>
      <c r="B43" s="134" t="s">
        <v>90</v>
      </c>
      <c r="C43" s="134">
        <v>10</v>
      </c>
      <c r="D43" s="134" t="s">
        <v>113</v>
      </c>
      <c r="E43" s="134"/>
      <c r="F43" s="103">
        <v>20</v>
      </c>
      <c r="G43" s="105" t="s">
        <v>11</v>
      </c>
      <c r="H43" s="103" t="s">
        <v>36</v>
      </c>
      <c r="I43" s="106">
        <v>3875762335</v>
      </c>
      <c r="J43" s="106"/>
      <c r="K43" s="166" t="s">
        <v>41</v>
      </c>
    </row>
    <row r="44" spans="1:11" s="107" customFormat="1" ht="32">
      <c r="A44" s="103">
        <f t="shared" si="0"/>
        <v>36</v>
      </c>
      <c r="B44" s="134" t="s">
        <v>90</v>
      </c>
      <c r="C44" s="134">
        <v>11</v>
      </c>
      <c r="D44" s="134" t="s">
        <v>113</v>
      </c>
      <c r="E44" s="134"/>
      <c r="F44" s="103">
        <v>20</v>
      </c>
      <c r="G44" s="105" t="s">
        <v>11</v>
      </c>
      <c r="H44" s="103" t="s">
        <v>36</v>
      </c>
      <c r="I44" s="106">
        <v>3875762335</v>
      </c>
      <c r="J44" s="106"/>
      <c r="K44" s="166" t="s">
        <v>41</v>
      </c>
    </row>
    <row r="45" spans="1:11" s="107" customFormat="1" ht="32">
      <c r="A45" s="103">
        <f t="shared" si="0"/>
        <v>37</v>
      </c>
      <c r="B45" s="134" t="s">
        <v>90</v>
      </c>
      <c r="C45" s="134">
        <v>12</v>
      </c>
      <c r="D45" s="134" t="s">
        <v>113</v>
      </c>
      <c r="E45" s="134"/>
      <c r="F45" s="103">
        <v>20</v>
      </c>
      <c r="G45" s="105" t="s">
        <v>11</v>
      </c>
      <c r="H45" s="103" t="s">
        <v>36</v>
      </c>
      <c r="I45" s="106">
        <v>3875762335</v>
      </c>
      <c r="J45" s="106"/>
      <c r="K45" s="166" t="s">
        <v>41</v>
      </c>
    </row>
    <row r="46" spans="1:11" s="107" customFormat="1" ht="32">
      <c r="A46" s="103">
        <f t="shared" si="0"/>
        <v>38</v>
      </c>
      <c r="B46" s="134" t="s">
        <v>90</v>
      </c>
      <c r="C46" s="134">
        <v>13</v>
      </c>
      <c r="D46" s="134" t="s">
        <v>113</v>
      </c>
      <c r="E46" s="134"/>
      <c r="F46" s="103">
        <v>20</v>
      </c>
      <c r="G46" s="105" t="s">
        <v>11</v>
      </c>
      <c r="H46" s="103" t="s">
        <v>36</v>
      </c>
      <c r="I46" s="106">
        <v>3875762335</v>
      </c>
      <c r="J46" s="106"/>
      <c r="K46" s="166" t="s">
        <v>41</v>
      </c>
    </row>
    <row r="47" spans="1:11" s="107" customFormat="1" ht="32">
      <c r="A47" s="103">
        <f t="shared" si="0"/>
        <v>39</v>
      </c>
      <c r="B47" s="134" t="s">
        <v>90</v>
      </c>
      <c r="C47" s="134">
        <v>14</v>
      </c>
      <c r="D47" s="134" t="s">
        <v>113</v>
      </c>
      <c r="E47" s="134"/>
      <c r="F47" s="103">
        <v>20</v>
      </c>
      <c r="G47" s="105" t="s">
        <v>11</v>
      </c>
      <c r="H47" s="103" t="s">
        <v>36</v>
      </c>
      <c r="I47" s="106">
        <v>3875762335</v>
      </c>
      <c r="J47" s="106"/>
      <c r="K47" s="166" t="s">
        <v>41</v>
      </c>
    </row>
    <row r="48" spans="1:11" s="107" customFormat="1" ht="32">
      <c r="A48" s="103">
        <f t="shared" si="0"/>
        <v>40</v>
      </c>
      <c r="B48" s="134" t="s">
        <v>90</v>
      </c>
      <c r="C48" s="134">
        <v>15</v>
      </c>
      <c r="D48" s="134" t="s">
        <v>113</v>
      </c>
      <c r="E48" s="134"/>
      <c r="F48" s="103">
        <v>20</v>
      </c>
      <c r="G48" s="105" t="s">
        <v>11</v>
      </c>
      <c r="H48" s="103" t="s">
        <v>36</v>
      </c>
      <c r="I48" s="106">
        <v>3875762335</v>
      </c>
      <c r="J48" s="106"/>
      <c r="K48" s="166" t="s">
        <v>41</v>
      </c>
    </row>
    <row r="49" spans="1:11" s="99" customFormat="1" ht="64">
      <c r="A49" s="84">
        <f t="shared" si="0"/>
        <v>41</v>
      </c>
      <c r="B49" s="94" t="s">
        <v>42</v>
      </c>
      <c r="C49" s="94"/>
      <c r="D49" s="94"/>
      <c r="E49" s="94"/>
      <c r="F49" s="93">
        <v>20</v>
      </c>
      <c r="G49" s="95" t="s">
        <v>11</v>
      </c>
      <c r="H49" s="93" t="s">
        <v>43</v>
      </c>
      <c r="I49" s="96" t="s">
        <v>237</v>
      </c>
      <c r="J49" s="97"/>
      <c r="K49" s="98" t="s">
        <v>44</v>
      </c>
    </row>
    <row r="50" spans="1:11" s="107" customFormat="1">
      <c r="A50" s="103">
        <f t="shared" si="0"/>
        <v>42</v>
      </c>
      <c r="B50" s="134" t="s">
        <v>114</v>
      </c>
      <c r="C50" s="134">
        <v>1</v>
      </c>
      <c r="D50" s="134" t="s">
        <v>113</v>
      </c>
      <c r="E50" s="134"/>
      <c r="F50" s="103">
        <v>20</v>
      </c>
      <c r="G50" s="105" t="s">
        <v>11</v>
      </c>
      <c r="H50" s="103" t="s">
        <v>36</v>
      </c>
      <c r="I50" s="106" t="s">
        <v>118</v>
      </c>
      <c r="J50" s="167" t="s">
        <v>119</v>
      </c>
      <c r="K50" s="166" t="s">
        <v>93</v>
      </c>
    </row>
    <row r="51" spans="1:11" s="107" customFormat="1">
      <c r="A51" s="103">
        <f t="shared" si="0"/>
        <v>43</v>
      </c>
      <c r="B51" s="134" t="s">
        <v>114</v>
      </c>
      <c r="C51" s="134">
        <v>2</v>
      </c>
      <c r="D51" s="134" t="s">
        <v>113</v>
      </c>
      <c r="E51" s="134"/>
      <c r="F51" s="103">
        <v>20</v>
      </c>
      <c r="G51" s="105" t="s">
        <v>11</v>
      </c>
      <c r="H51" s="103" t="s">
        <v>36</v>
      </c>
      <c r="I51" s="106" t="s">
        <v>118</v>
      </c>
      <c r="J51" s="167" t="s">
        <v>120</v>
      </c>
      <c r="K51" s="166" t="s">
        <v>93</v>
      </c>
    </row>
    <row r="52" spans="1:11" s="107" customFormat="1">
      <c r="A52" s="103">
        <f t="shared" si="0"/>
        <v>44</v>
      </c>
      <c r="B52" s="134" t="s">
        <v>114</v>
      </c>
      <c r="C52" s="134">
        <v>3</v>
      </c>
      <c r="D52" s="134" t="s">
        <v>113</v>
      </c>
      <c r="E52" s="134"/>
      <c r="F52" s="103">
        <v>20</v>
      </c>
      <c r="G52" s="105" t="s">
        <v>11</v>
      </c>
      <c r="H52" s="103" t="s">
        <v>36</v>
      </c>
      <c r="I52" s="106" t="s">
        <v>118</v>
      </c>
      <c r="J52" s="167" t="s">
        <v>121</v>
      </c>
      <c r="K52" s="166" t="s">
        <v>93</v>
      </c>
    </row>
    <row r="53" spans="1:11" s="107" customFormat="1">
      <c r="A53" s="103">
        <f t="shared" si="0"/>
        <v>45</v>
      </c>
      <c r="B53" s="134" t="s">
        <v>114</v>
      </c>
      <c r="C53" s="134">
        <v>4</v>
      </c>
      <c r="D53" s="134" t="s">
        <v>113</v>
      </c>
      <c r="E53" s="134"/>
      <c r="F53" s="103">
        <v>20</v>
      </c>
      <c r="G53" s="105" t="s">
        <v>11</v>
      </c>
      <c r="H53" s="103" t="s">
        <v>36</v>
      </c>
      <c r="I53" s="106" t="s">
        <v>118</v>
      </c>
      <c r="J53" s="167" t="s">
        <v>122</v>
      </c>
      <c r="K53" s="166" t="s">
        <v>93</v>
      </c>
    </row>
    <row r="54" spans="1:11" s="107" customFormat="1">
      <c r="A54" s="103">
        <f t="shared" si="0"/>
        <v>46</v>
      </c>
      <c r="B54" s="134" t="s">
        <v>114</v>
      </c>
      <c r="C54" s="134">
        <v>5</v>
      </c>
      <c r="D54" s="134" t="s">
        <v>113</v>
      </c>
      <c r="E54" s="134"/>
      <c r="F54" s="103">
        <v>20</v>
      </c>
      <c r="G54" s="105" t="s">
        <v>11</v>
      </c>
      <c r="H54" s="103" t="s">
        <v>36</v>
      </c>
      <c r="I54" s="106" t="s">
        <v>118</v>
      </c>
      <c r="J54" s="167" t="s">
        <v>123</v>
      </c>
      <c r="K54" s="166" t="s">
        <v>93</v>
      </c>
    </row>
    <row r="55" spans="1:11" s="107" customFormat="1">
      <c r="A55" s="103">
        <f t="shared" si="0"/>
        <v>47</v>
      </c>
      <c r="B55" s="134" t="s">
        <v>114</v>
      </c>
      <c r="C55" s="134">
        <v>6</v>
      </c>
      <c r="D55" s="134" t="s">
        <v>113</v>
      </c>
      <c r="E55" s="134"/>
      <c r="F55" s="103">
        <v>20</v>
      </c>
      <c r="G55" s="105" t="s">
        <v>11</v>
      </c>
      <c r="H55" s="103" t="s">
        <v>36</v>
      </c>
      <c r="I55" s="106" t="s">
        <v>118</v>
      </c>
      <c r="J55" s="167" t="s">
        <v>238</v>
      </c>
      <c r="K55" s="166" t="s">
        <v>93</v>
      </c>
    </row>
    <row r="56" spans="1:11" s="107" customFormat="1">
      <c r="A56" s="103">
        <f t="shared" si="0"/>
        <v>48</v>
      </c>
      <c r="B56" s="134" t="s">
        <v>114</v>
      </c>
      <c r="C56" s="134">
        <v>7</v>
      </c>
      <c r="D56" s="134" t="s">
        <v>113</v>
      </c>
      <c r="E56" s="134"/>
      <c r="F56" s="103">
        <v>20</v>
      </c>
      <c r="G56" s="105" t="s">
        <v>11</v>
      </c>
      <c r="H56" s="103" t="s">
        <v>36</v>
      </c>
      <c r="I56" s="106" t="s">
        <v>118</v>
      </c>
      <c r="J56" s="167" t="s">
        <v>239</v>
      </c>
      <c r="K56" s="166" t="s">
        <v>93</v>
      </c>
    </row>
    <row r="57" spans="1:11" s="107" customFormat="1">
      <c r="A57" s="103">
        <f t="shared" si="0"/>
        <v>49</v>
      </c>
      <c r="B57" s="134" t="s">
        <v>114</v>
      </c>
      <c r="C57" s="134">
        <v>8</v>
      </c>
      <c r="D57" s="134" t="s">
        <v>113</v>
      </c>
      <c r="E57" s="134"/>
      <c r="F57" s="103">
        <v>20</v>
      </c>
      <c r="G57" s="105" t="s">
        <v>11</v>
      </c>
      <c r="H57" s="103" t="s">
        <v>36</v>
      </c>
      <c r="I57" s="106" t="s">
        <v>118</v>
      </c>
      <c r="J57" s="167" t="s">
        <v>240</v>
      </c>
      <c r="K57" s="166" t="s">
        <v>93</v>
      </c>
    </row>
    <row r="58" spans="1:11" s="107" customFormat="1">
      <c r="A58" s="103">
        <f t="shared" si="0"/>
        <v>50</v>
      </c>
      <c r="B58" s="134" t="s">
        <v>114</v>
      </c>
      <c r="C58" s="134">
        <v>9</v>
      </c>
      <c r="D58" s="134" t="s">
        <v>113</v>
      </c>
      <c r="E58" s="134"/>
      <c r="F58" s="103">
        <v>20</v>
      </c>
      <c r="G58" s="105" t="s">
        <v>11</v>
      </c>
      <c r="H58" s="103" t="s">
        <v>36</v>
      </c>
      <c r="I58" s="106" t="s">
        <v>118</v>
      </c>
      <c r="J58" s="167" t="s">
        <v>241</v>
      </c>
      <c r="K58" s="166" t="s">
        <v>93</v>
      </c>
    </row>
    <row r="59" spans="1:11" s="107" customFormat="1">
      <c r="A59" s="103">
        <f t="shared" si="0"/>
        <v>51</v>
      </c>
      <c r="B59" s="134" t="s">
        <v>114</v>
      </c>
      <c r="C59" s="134">
        <v>10</v>
      </c>
      <c r="D59" s="134" t="s">
        <v>113</v>
      </c>
      <c r="E59" s="134"/>
      <c r="F59" s="103">
        <v>20</v>
      </c>
      <c r="G59" s="105" t="s">
        <v>11</v>
      </c>
      <c r="H59" s="103" t="s">
        <v>36</v>
      </c>
      <c r="I59" s="106" t="s">
        <v>118</v>
      </c>
      <c r="J59" s="167" t="s">
        <v>242</v>
      </c>
      <c r="K59" s="166" t="s">
        <v>93</v>
      </c>
    </row>
    <row r="60" spans="1:11" s="107" customFormat="1">
      <c r="A60" s="103">
        <f t="shared" si="0"/>
        <v>52</v>
      </c>
      <c r="B60" s="134" t="s">
        <v>114</v>
      </c>
      <c r="C60" s="134">
        <v>11</v>
      </c>
      <c r="D60" s="134" t="s">
        <v>113</v>
      </c>
      <c r="E60" s="134"/>
      <c r="F60" s="103">
        <v>20</v>
      </c>
      <c r="G60" s="105" t="s">
        <v>11</v>
      </c>
      <c r="H60" s="103" t="s">
        <v>36</v>
      </c>
      <c r="I60" s="106" t="s">
        <v>118</v>
      </c>
      <c r="J60" s="167" t="s">
        <v>243</v>
      </c>
      <c r="K60" s="166" t="s">
        <v>93</v>
      </c>
    </row>
    <row r="61" spans="1:11" s="107" customFormat="1">
      <c r="A61" s="103">
        <f t="shared" si="0"/>
        <v>53</v>
      </c>
      <c r="B61" s="134" t="s">
        <v>114</v>
      </c>
      <c r="C61" s="134">
        <v>12</v>
      </c>
      <c r="D61" s="134" t="s">
        <v>113</v>
      </c>
      <c r="E61" s="134"/>
      <c r="F61" s="103">
        <v>20</v>
      </c>
      <c r="G61" s="105" t="s">
        <v>11</v>
      </c>
      <c r="H61" s="103" t="s">
        <v>36</v>
      </c>
      <c r="I61" s="106" t="s">
        <v>118</v>
      </c>
      <c r="J61" s="167" t="s">
        <v>244</v>
      </c>
      <c r="K61" s="166" t="s">
        <v>93</v>
      </c>
    </row>
    <row r="62" spans="1:11" s="107" customFormat="1">
      <c r="A62" s="103">
        <f t="shared" si="0"/>
        <v>54</v>
      </c>
      <c r="B62" s="134" t="s">
        <v>114</v>
      </c>
      <c r="C62" s="134">
        <v>13</v>
      </c>
      <c r="D62" s="134" t="s">
        <v>113</v>
      </c>
      <c r="E62" s="134"/>
      <c r="F62" s="103">
        <v>20</v>
      </c>
      <c r="G62" s="105" t="s">
        <v>11</v>
      </c>
      <c r="H62" s="103" t="s">
        <v>36</v>
      </c>
      <c r="I62" s="106" t="s">
        <v>118</v>
      </c>
      <c r="J62" s="167" t="s">
        <v>245</v>
      </c>
      <c r="K62" s="166" t="s">
        <v>93</v>
      </c>
    </row>
    <row r="63" spans="1:11" s="107" customFormat="1">
      <c r="A63" s="103">
        <f t="shared" si="0"/>
        <v>55</v>
      </c>
      <c r="B63" s="134" t="s">
        <v>114</v>
      </c>
      <c r="C63" s="134">
        <v>14</v>
      </c>
      <c r="D63" s="134" t="s">
        <v>113</v>
      </c>
      <c r="E63" s="134"/>
      <c r="F63" s="103">
        <v>20</v>
      </c>
      <c r="G63" s="105" t="s">
        <v>11</v>
      </c>
      <c r="H63" s="103" t="s">
        <v>36</v>
      </c>
      <c r="I63" s="106" t="s">
        <v>118</v>
      </c>
      <c r="J63" s="167" t="s">
        <v>246</v>
      </c>
      <c r="K63" s="166" t="s">
        <v>93</v>
      </c>
    </row>
    <row r="64" spans="1:11" s="107" customFormat="1">
      <c r="A64" s="103">
        <f t="shared" si="0"/>
        <v>56</v>
      </c>
      <c r="B64" s="134" t="s">
        <v>114</v>
      </c>
      <c r="C64" s="134">
        <v>15</v>
      </c>
      <c r="D64" s="134" t="s">
        <v>113</v>
      </c>
      <c r="E64" s="134"/>
      <c r="F64" s="103">
        <v>20</v>
      </c>
      <c r="G64" s="105" t="s">
        <v>11</v>
      </c>
      <c r="H64" s="103" t="s">
        <v>36</v>
      </c>
      <c r="I64" s="106" t="s">
        <v>118</v>
      </c>
      <c r="J64" s="167"/>
      <c r="K64" s="166" t="s">
        <v>93</v>
      </c>
    </row>
    <row r="65" spans="1:11" s="107" customFormat="1">
      <c r="A65" s="103">
        <f t="shared" si="0"/>
        <v>57</v>
      </c>
      <c r="B65" s="134" t="s">
        <v>114</v>
      </c>
      <c r="C65" s="134">
        <v>16</v>
      </c>
      <c r="D65" s="134" t="s">
        <v>113</v>
      </c>
      <c r="E65" s="134"/>
      <c r="F65" s="103">
        <v>20</v>
      </c>
      <c r="G65" s="105" t="s">
        <v>11</v>
      </c>
      <c r="H65" s="103" t="s">
        <v>36</v>
      </c>
      <c r="I65" s="106" t="s">
        <v>118</v>
      </c>
      <c r="J65" s="167"/>
      <c r="K65" s="166" t="s">
        <v>93</v>
      </c>
    </row>
    <row r="66" spans="1:11" s="107" customFormat="1">
      <c r="A66" s="103">
        <f t="shared" si="0"/>
        <v>58</v>
      </c>
      <c r="B66" s="134" t="s">
        <v>114</v>
      </c>
      <c r="C66" s="134">
        <v>17</v>
      </c>
      <c r="D66" s="134" t="s">
        <v>113</v>
      </c>
      <c r="E66" s="134"/>
      <c r="F66" s="103">
        <v>20</v>
      </c>
      <c r="G66" s="105" t="s">
        <v>11</v>
      </c>
      <c r="H66" s="103" t="s">
        <v>36</v>
      </c>
      <c r="I66" s="106" t="s">
        <v>118</v>
      </c>
      <c r="J66" s="167"/>
      <c r="K66" s="166" t="s">
        <v>93</v>
      </c>
    </row>
    <row r="67" spans="1:11" s="107" customFormat="1">
      <c r="A67" s="103">
        <f t="shared" si="0"/>
        <v>59</v>
      </c>
      <c r="B67" s="134" t="s">
        <v>114</v>
      </c>
      <c r="C67" s="134">
        <v>18</v>
      </c>
      <c r="D67" s="134" t="s">
        <v>113</v>
      </c>
      <c r="E67" s="134"/>
      <c r="F67" s="103">
        <v>20</v>
      </c>
      <c r="G67" s="105" t="s">
        <v>11</v>
      </c>
      <c r="H67" s="103" t="s">
        <v>36</v>
      </c>
      <c r="I67" s="106" t="s">
        <v>118</v>
      </c>
      <c r="J67" s="167"/>
      <c r="K67" s="166" t="s">
        <v>93</v>
      </c>
    </row>
    <row r="68" spans="1:11" s="107" customFormat="1">
      <c r="A68" s="103">
        <f t="shared" si="0"/>
        <v>60</v>
      </c>
      <c r="B68" s="134" t="s">
        <v>114</v>
      </c>
      <c r="C68" s="134">
        <v>19</v>
      </c>
      <c r="D68" s="134" t="s">
        <v>113</v>
      </c>
      <c r="E68" s="134"/>
      <c r="F68" s="103">
        <v>20</v>
      </c>
      <c r="G68" s="105" t="s">
        <v>11</v>
      </c>
      <c r="H68" s="103" t="s">
        <v>36</v>
      </c>
      <c r="I68" s="106" t="s">
        <v>118</v>
      </c>
      <c r="J68" s="167"/>
      <c r="K68" s="166" t="s">
        <v>93</v>
      </c>
    </row>
    <row r="69" spans="1:11" s="107" customFormat="1">
      <c r="A69" s="103">
        <f t="shared" si="0"/>
        <v>61</v>
      </c>
      <c r="B69" s="134" t="s">
        <v>114</v>
      </c>
      <c r="C69" s="134">
        <v>20</v>
      </c>
      <c r="D69" s="134" t="s">
        <v>113</v>
      </c>
      <c r="E69" s="134"/>
      <c r="F69" s="103">
        <v>20</v>
      </c>
      <c r="G69" s="105" t="s">
        <v>11</v>
      </c>
      <c r="H69" s="103" t="s">
        <v>36</v>
      </c>
      <c r="I69" s="106" t="s">
        <v>118</v>
      </c>
      <c r="J69" s="167"/>
      <c r="K69" s="166" t="s">
        <v>93</v>
      </c>
    </row>
    <row r="70" spans="1:11" s="107" customFormat="1">
      <c r="A70" s="103">
        <f t="shared" si="0"/>
        <v>62</v>
      </c>
      <c r="B70" s="134" t="s">
        <v>114</v>
      </c>
      <c r="C70" s="134">
        <v>21</v>
      </c>
      <c r="D70" s="134" t="s">
        <v>113</v>
      </c>
      <c r="E70" s="134"/>
      <c r="F70" s="103">
        <v>20</v>
      </c>
      <c r="G70" s="105" t="s">
        <v>11</v>
      </c>
      <c r="H70" s="103" t="s">
        <v>36</v>
      </c>
      <c r="I70" s="106" t="s">
        <v>118</v>
      </c>
      <c r="J70" s="167"/>
      <c r="K70" s="166" t="s">
        <v>93</v>
      </c>
    </row>
    <row r="71" spans="1:11" s="107" customFormat="1">
      <c r="A71" s="103">
        <f t="shared" si="0"/>
        <v>63</v>
      </c>
      <c r="B71" s="134" t="s">
        <v>114</v>
      </c>
      <c r="C71" s="134">
        <v>22</v>
      </c>
      <c r="D71" s="134" t="s">
        <v>113</v>
      </c>
      <c r="E71" s="134"/>
      <c r="F71" s="103">
        <v>20</v>
      </c>
      <c r="G71" s="105" t="s">
        <v>11</v>
      </c>
      <c r="H71" s="103" t="s">
        <v>36</v>
      </c>
      <c r="I71" s="106" t="s">
        <v>118</v>
      </c>
      <c r="J71" s="167"/>
      <c r="K71" s="166" t="s">
        <v>93</v>
      </c>
    </row>
    <row r="72" spans="1:11" s="107" customFormat="1">
      <c r="A72" s="103">
        <f t="shared" si="0"/>
        <v>64</v>
      </c>
      <c r="B72" s="134" t="s">
        <v>114</v>
      </c>
      <c r="C72" s="134">
        <v>23</v>
      </c>
      <c r="D72" s="134" t="s">
        <v>113</v>
      </c>
      <c r="E72" s="134"/>
      <c r="F72" s="103">
        <v>20</v>
      </c>
      <c r="G72" s="105" t="s">
        <v>11</v>
      </c>
      <c r="H72" s="103" t="s">
        <v>36</v>
      </c>
      <c r="I72" s="106" t="s">
        <v>118</v>
      </c>
      <c r="J72" s="167"/>
      <c r="K72" s="166" t="s">
        <v>93</v>
      </c>
    </row>
    <row r="73" spans="1:11" s="107" customFormat="1">
      <c r="A73" s="103">
        <f t="shared" si="0"/>
        <v>65</v>
      </c>
      <c r="B73" s="134" t="s">
        <v>114</v>
      </c>
      <c r="C73" s="134">
        <v>24</v>
      </c>
      <c r="D73" s="134" t="s">
        <v>113</v>
      </c>
      <c r="E73" s="134"/>
      <c r="F73" s="103">
        <v>20</v>
      </c>
      <c r="G73" s="105" t="s">
        <v>11</v>
      </c>
      <c r="H73" s="103" t="s">
        <v>36</v>
      </c>
      <c r="I73" s="106" t="s">
        <v>118</v>
      </c>
      <c r="J73" s="167"/>
      <c r="K73" s="166" t="s">
        <v>93</v>
      </c>
    </row>
    <row r="74" spans="1:11" s="107" customFormat="1">
      <c r="A74" s="103">
        <f t="shared" si="0"/>
        <v>66</v>
      </c>
      <c r="B74" s="134" t="s">
        <v>114</v>
      </c>
      <c r="C74" s="134">
        <v>25</v>
      </c>
      <c r="D74" s="134" t="s">
        <v>113</v>
      </c>
      <c r="E74" s="134"/>
      <c r="F74" s="103">
        <v>20</v>
      </c>
      <c r="G74" s="105" t="s">
        <v>11</v>
      </c>
      <c r="H74" s="103" t="s">
        <v>36</v>
      </c>
      <c r="I74" s="106" t="s">
        <v>118</v>
      </c>
      <c r="J74" s="167"/>
      <c r="K74" s="166" t="s">
        <v>93</v>
      </c>
    </row>
    <row r="75" spans="1:11" s="107" customFormat="1">
      <c r="A75" s="103">
        <f t="shared" si="0"/>
        <v>67</v>
      </c>
      <c r="B75" s="134" t="s">
        <v>114</v>
      </c>
      <c r="C75" s="134">
        <v>26</v>
      </c>
      <c r="D75" s="134" t="s">
        <v>113</v>
      </c>
      <c r="E75" s="134"/>
      <c r="F75" s="103">
        <v>20</v>
      </c>
      <c r="G75" s="105" t="s">
        <v>11</v>
      </c>
      <c r="H75" s="103" t="s">
        <v>36</v>
      </c>
      <c r="I75" s="106" t="s">
        <v>118</v>
      </c>
      <c r="J75" s="167"/>
      <c r="K75" s="166" t="s">
        <v>93</v>
      </c>
    </row>
    <row r="76" spans="1:11" s="107" customFormat="1">
      <c r="A76" s="103">
        <f t="shared" ref="A76:A93" si="1">ROW()-8</f>
        <v>68</v>
      </c>
      <c r="B76" s="134" t="s">
        <v>114</v>
      </c>
      <c r="C76" s="134">
        <v>27</v>
      </c>
      <c r="D76" s="134" t="s">
        <v>113</v>
      </c>
      <c r="E76" s="134"/>
      <c r="F76" s="103">
        <v>20</v>
      </c>
      <c r="G76" s="105" t="s">
        <v>11</v>
      </c>
      <c r="H76" s="103" t="s">
        <v>36</v>
      </c>
      <c r="I76" s="106" t="s">
        <v>118</v>
      </c>
      <c r="J76" s="167"/>
      <c r="K76" s="166" t="s">
        <v>93</v>
      </c>
    </row>
    <row r="77" spans="1:11" s="107" customFormat="1">
      <c r="A77" s="103">
        <f t="shared" si="1"/>
        <v>69</v>
      </c>
      <c r="B77" s="134" t="s">
        <v>114</v>
      </c>
      <c r="C77" s="134">
        <v>28</v>
      </c>
      <c r="D77" s="134" t="s">
        <v>113</v>
      </c>
      <c r="E77" s="134"/>
      <c r="F77" s="103">
        <v>20</v>
      </c>
      <c r="G77" s="105" t="s">
        <v>11</v>
      </c>
      <c r="H77" s="103" t="s">
        <v>36</v>
      </c>
      <c r="I77" s="106" t="s">
        <v>118</v>
      </c>
      <c r="J77" s="167"/>
      <c r="K77" s="166" t="s">
        <v>93</v>
      </c>
    </row>
    <row r="78" spans="1:11" s="107" customFormat="1">
      <c r="A78" s="103">
        <f t="shared" si="1"/>
        <v>70</v>
      </c>
      <c r="B78" s="134" t="s">
        <v>114</v>
      </c>
      <c r="C78" s="134">
        <v>29</v>
      </c>
      <c r="D78" s="134" t="s">
        <v>113</v>
      </c>
      <c r="E78" s="134"/>
      <c r="F78" s="103">
        <v>20</v>
      </c>
      <c r="G78" s="105" t="s">
        <v>11</v>
      </c>
      <c r="H78" s="103" t="s">
        <v>36</v>
      </c>
      <c r="I78" s="106" t="s">
        <v>118</v>
      </c>
      <c r="J78" s="167"/>
      <c r="K78" s="166" t="s">
        <v>93</v>
      </c>
    </row>
    <row r="79" spans="1:11" s="107" customFormat="1">
      <c r="A79" s="103">
        <f t="shared" si="1"/>
        <v>71</v>
      </c>
      <c r="B79" s="134" t="s">
        <v>114</v>
      </c>
      <c r="C79" s="134">
        <v>30</v>
      </c>
      <c r="D79" s="134" t="s">
        <v>113</v>
      </c>
      <c r="E79" s="134"/>
      <c r="F79" s="103">
        <v>20</v>
      </c>
      <c r="G79" s="105" t="s">
        <v>11</v>
      </c>
      <c r="H79" s="103" t="s">
        <v>36</v>
      </c>
      <c r="I79" s="106" t="s">
        <v>118</v>
      </c>
      <c r="J79" s="167"/>
      <c r="K79" s="166" t="s">
        <v>93</v>
      </c>
    </row>
    <row r="80" spans="1:11" ht="48">
      <c r="A80" s="84">
        <f t="shared" si="1"/>
        <v>72</v>
      </c>
      <c r="B80" s="92" t="s">
        <v>45</v>
      </c>
      <c r="C80" s="92"/>
      <c r="D80" s="92"/>
      <c r="E80" s="92"/>
      <c r="F80" s="84">
        <v>300</v>
      </c>
      <c r="G80" s="85" t="s">
        <v>11</v>
      </c>
      <c r="H80" s="84" t="s">
        <v>43</v>
      </c>
      <c r="I80" s="86" t="s">
        <v>46</v>
      </c>
      <c r="J80" s="86"/>
      <c r="K80" s="87" t="s">
        <v>47</v>
      </c>
    </row>
    <row r="81" spans="1:11" ht="48">
      <c r="A81" s="84">
        <f t="shared" si="1"/>
        <v>73</v>
      </c>
      <c r="B81" s="92" t="s">
        <v>48</v>
      </c>
      <c r="C81" s="92"/>
      <c r="D81" s="92"/>
      <c r="E81" s="92"/>
      <c r="F81" s="84">
        <v>300</v>
      </c>
      <c r="G81" s="85" t="s">
        <v>11</v>
      </c>
      <c r="H81" s="84" t="s">
        <v>14</v>
      </c>
      <c r="I81" s="86" t="s">
        <v>49</v>
      </c>
      <c r="J81" s="86"/>
      <c r="K81" s="87" t="s">
        <v>47</v>
      </c>
    </row>
    <row r="82" spans="1:11">
      <c r="A82" s="84">
        <f t="shared" si="1"/>
        <v>74</v>
      </c>
      <c r="B82" s="92" t="s">
        <v>96</v>
      </c>
      <c r="C82" s="92"/>
      <c r="D82" s="92"/>
      <c r="E82" s="92"/>
      <c r="F82" s="84" t="s">
        <v>97</v>
      </c>
      <c r="G82" s="85" t="s">
        <v>98</v>
      </c>
      <c r="H82" s="84" t="s">
        <v>14</v>
      </c>
      <c r="I82" s="86"/>
      <c r="J82" s="86"/>
      <c r="K82" s="87"/>
    </row>
    <row r="83" spans="1:11">
      <c r="A83" s="84">
        <f t="shared" si="1"/>
        <v>75</v>
      </c>
      <c r="B83" s="92" t="s">
        <v>3</v>
      </c>
      <c r="C83" s="92"/>
      <c r="D83" s="92"/>
      <c r="E83" s="92"/>
      <c r="F83" s="84">
        <v>10</v>
      </c>
      <c r="G83" s="85" t="s">
        <v>11</v>
      </c>
      <c r="H83" s="84" t="s">
        <v>14</v>
      </c>
      <c r="I83" s="86" t="s">
        <v>50</v>
      </c>
      <c r="J83" s="86" t="s">
        <v>94</v>
      </c>
      <c r="K83" s="87" t="s">
        <v>51</v>
      </c>
    </row>
    <row r="84" spans="1:11">
      <c r="A84" s="84">
        <f t="shared" si="1"/>
        <v>76</v>
      </c>
      <c r="B84" s="92" t="s">
        <v>4</v>
      </c>
      <c r="C84" s="92"/>
      <c r="D84" s="92"/>
      <c r="E84" s="92"/>
      <c r="F84" s="84">
        <v>20</v>
      </c>
      <c r="G84" s="85" t="s">
        <v>11</v>
      </c>
      <c r="H84" s="84" t="s">
        <v>14</v>
      </c>
      <c r="I84" s="86"/>
      <c r="J84" s="86"/>
      <c r="K84" s="87" t="s">
        <v>52</v>
      </c>
    </row>
    <row r="85" spans="1:11">
      <c r="A85" s="84">
        <f t="shared" si="1"/>
        <v>77</v>
      </c>
      <c r="B85" s="92" t="s">
        <v>5</v>
      </c>
      <c r="C85" s="92"/>
      <c r="D85" s="92"/>
      <c r="E85" s="92"/>
      <c r="F85" s="84">
        <v>200</v>
      </c>
      <c r="G85" s="85" t="s">
        <v>11</v>
      </c>
      <c r="H85" s="84" t="s">
        <v>14</v>
      </c>
      <c r="I85" s="86"/>
      <c r="J85" s="86"/>
      <c r="K85" s="87" t="s">
        <v>52</v>
      </c>
    </row>
    <row r="86" spans="1:11">
      <c r="A86" s="84">
        <f t="shared" si="1"/>
        <v>78</v>
      </c>
      <c r="B86" s="92" t="s">
        <v>6</v>
      </c>
      <c r="C86" s="92"/>
      <c r="D86" s="92"/>
      <c r="E86" s="92"/>
      <c r="F86" s="84">
        <v>20</v>
      </c>
      <c r="G86" s="85" t="s">
        <v>11</v>
      </c>
      <c r="H86" s="84" t="s">
        <v>14</v>
      </c>
      <c r="I86" s="86"/>
      <c r="J86" s="86"/>
      <c r="K86" s="87" t="s">
        <v>53</v>
      </c>
    </row>
    <row r="87" spans="1:11">
      <c r="A87" s="84">
        <f t="shared" si="1"/>
        <v>79</v>
      </c>
      <c r="B87" s="92" t="s">
        <v>7</v>
      </c>
      <c r="C87" s="92"/>
      <c r="D87" s="92"/>
      <c r="E87" s="92"/>
      <c r="F87" s="84">
        <v>20</v>
      </c>
      <c r="G87" s="85" t="s">
        <v>11</v>
      </c>
      <c r="H87" s="84" t="s">
        <v>14</v>
      </c>
      <c r="I87" s="86"/>
      <c r="J87" s="86"/>
      <c r="K87" s="87" t="s">
        <v>54</v>
      </c>
    </row>
    <row r="88" spans="1:11" ht="32">
      <c r="A88" s="84">
        <f t="shared" si="1"/>
        <v>80</v>
      </c>
      <c r="B88" s="92" t="s">
        <v>55</v>
      </c>
      <c r="C88" s="92"/>
      <c r="D88" s="92"/>
      <c r="E88" s="92"/>
      <c r="F88" s="84">
        <v>2</v>
      </c>
      <c r="G88" s="85" t="s">
        <v>12</v>
      </c>
      <c r="H88" s="84" t="s">
        <v>14</v>
      </c>
      <c r="I88" s="86"/>
      <c r="J88" s="86"/>
      <c r="K88" s="87" t="s">
        <v>95</v>
      </c>
    </row>
    <row r="89" spans="1:11">
      <c r="A89" s="84">
        <f t="shared" si="1"/>
        <v>81</v>
      </c>
      <c r="B89" s="92" t="s">
        <v>56</v>
      </c>
      <c r="C89" s="92"/>
      <c r="D89" s="92"/>
      <c r="E89" s="92"/>
      <c r="F89" s="84">
        <v>10</v>
      </c>
      <c r="G89" s="85" t="s">
        <v>12</v>
      </c>
      <c r="H89" s="84" t="s">
        <v>14</v>
      </c>
      <c r="I89" s="86"/>
      <c r="J89" s="86"/>
      <c r="K89" s="87" t="s">
        <v>57</v>
      </c>
    </row>
    <row r="90" spans="1:11">
      <c r="A90" s="84">
        <f t="shared" si="1"/>
        <v>82</v>
      </c>
      <c r="B90" s="92" t="s">
        <v>58</v>
      </c>
      <c r="C90" s="92"/>
      <c r="D90" s="92"/>
      <c r="E90" s="92"/>
      <c r="F90" s="84">
        <v>10</v>
      </c>
      <c r="G90" s="85" t="s">
        <v>12</v>
      </c>
      <c r="H90" s="84" t="s">
        <v>14</v>
      </c>
      <c r="I90" s="86"/>
      <c r="J90" s="86"/>
      <c r="K90" s="87" t="s">
        <v>57</v>
      </c>
    </row>
    <row r="91" spans="1:11">
      <c r="A91" s="84">
        <f t="shared" si="1"/>
        <v>83</v>
      </c>
      <c r="B91" s="92" t="s">
        <v>59</v>
      </c>
      <c r="C91" s="92"/>
      <c r="D91" s="92"/>
      <c r="E91" s="92"/>
      <c r="F91" s="84">
        <v>2</v>
      </c>
      <c r="G91" s="85" t="s">
        <v>12</v>
      </c>
      <c r="H91" s="84" t="s">
        <v>43</v>
      </c>
      <c r="I91" s="86" t="s">
        <v>99</v>
      </c>
      <c r="J91" s="86"/>
      <c r="K91" s="87" t="s">
        <v>60</v>
      </c>
    </row>
    <row r="92" spans="1:11" s="133" customFormat="1">
      <c r="A92" s="103">
        <f t="shared" si="1"/>
        <v>84</v>
      </c>
      <c r="B92" s="127" t="s">
        <v>233</v>
      </c>
      <c r="C92" s="127"/>
      <c r="D92" s="127"/>
      <c r="E92" s="127"/>
      <c r="F92" s="128">
        <v>1</v>
      </c>
      <c r="G92" s="129" t="s">
        <v>12</v>
      </c>
      <c r="H92" s="128" t="s">
        <v>43</v>
      </c>
      <c r="I92" s="130" t="s">
        <v>247</v>
      </c>
      <c r="J92" s="131"/>
      <c r="K92" s="132"/>
    </row>
    <row r="93" spans="1:11" ht="32">
      <c r="A93" s="84">
        <f t="shared" si="1"/>
        <v>85</v>
      </c>
      <c r="B93" s="92" t="s">
        <v>2</v>
      </c>
      <c r="C93" s="92"/>
      <c r="D93" s="92"/>
      <c r="E93" s="92"/>
      <c r="F93" s="84">
        <v>20</v>
      </c>
      <c r="G93" s="85" t="s">
        <v>11</v>
      </c>
      <c r="H93" s="84" t="s">
        <v>14</v>
      </c>
      <c r="I93" s="86"/>
      <c r="J93" s="86"/>
      <c r="K93" s="87" t="s">
        <v>61</v>
      </c>
    </row>
    <row r="94" spans="1:11" ht="32">
      <c r="A94" s="84">
        <f t="shared" ref="A94:A133" si="2">ROW()-8</f>
        <v>86</v>
      </c>
      <c r="B94" s="92" t="s">
        <v>8</v>
      </c>
      <c r="C94" s="92"/>
      <c r="D94" s="92"/>
      <c r="E94" s="92"/>
      <c r="F94" s="84">
        <v>200</v>
      </c>
      <c r="G94" s="85" t="s">
        <v>11</v>
      </c>
      <c r="H94" s="84" t="s">
        <v>14</v>
      </c>
      <c r="I94" s="86"/>
      <c r="J94" s="86"/>
      <c r="K94" s="87" t="s">
        <v>61</v>
      </c>
    </row>
    <row r="95" spans="1:11" ht="64">
      <c r="A95" s="84">
        <f t="shared" si="2"/>
        <v>87</v>
      </c>
      <c r="B95" s="92" t="s">
        <v>64</v>
      </c>
      <c r="C95" s="92"/>
      <c r="D95" s="92"/>
      <c r="E95" s="92"/>
      <c r="F95" s="84">
        <v>1</v>
      </c>
      <c r="G95" s="85" t="s">
        <v>11</v>
      </c>
      <c r="H95" s="93" t="s">
        <v>31</v>
      </c>
      <c r="I95" s="87" t="s">
        <v>65</v>
      </c>
      <c r="J95" s="87"/>
      <c r="K95" s="87" t="s">
        <v>66</v>
      </c>
    </row>
    <row r="96" spans="1:11">
      <c r="A96" s="84">
        <f t="shared" si="2"/>
        <v>88</v>
      </c>
      <c r="B96" s="100" t="s">
        <v>67</v>
      </c>
      <c r="C96" s="101"/>
      <c r="D96" s="101"/>
      <c r="E96" s="102"/>
      <c r="F96" s="84">
        <v>1</v>
      </c>
      <c r="G96" s="85" t="s">
        <v>11</v>
      </c>
      <c r="H96" s="84" t="s">
        <v>36</v>
      </c>
      <c r="I96" s="86" t="s">
        <v>68</v>
      </c>
      <c r="J96" s="86"/>
      <c r="K96" s="86" t="s">
        <v>68</v>
      </c>
    </row>
    <row r="97" spans="1:11">
      <c r="A97" s="84">
        <f t="shared" si="2"/>
        <v>89</v>
      </c>
      <c r="B97" s="100" t="s">
        <v>69</v>
      </c>
      <c r="C97" s="101"/>
      <c r="D97" s="101"/>
      <c r="E97" s="102"/>
      <c r="F97" s="84">
        <v>1</v>
      </c>
      <c r="G97" s="85" t="s">
        <v>11</v>
      </c>
      <c r="H97" s="84" t="s">
        <v>36</v>
      </c>
      <c r="I97" s="86"/>
      <c r="J97" s="86"/>
      <c r="K97" s="86" t="s">
        <v>70</v>
      </c>
    </row>
    <row r="98" spans="1:11">
      <c r="A98" s="84">
        <f t="shared" si="2"/>
        <v>90</v>
      </c>
      <c r="B98" s="100" t="s">
        <v>71</v>
      </c>
      <c r="C98" s="101"/>
      <c r="D98" s="101"/>
      <c r="E98" s="102"/>
      <c r="F98" s="84">
        <v>1</v>
      </c>
      <c r="G98" s="85" t="s">
        <v>11</v>
      </c>
      <c r="H98" s="84" t="s">
        <v>36</v>
      </c>
      <c r="I98" s="86"/>
      <c r="J98" s="86"/>
      <c r="K98" s="86" t="s">
        <v>72</v>
      </c>
    </row>
    <row r="99" spans="1:11">
      <c r="A99" s="84">
        <f t="shared" si="2"/>
        <v>91</v>
      </c>
      <c r="B99" s="92" t="s">
        <v>73</v>
      </c>
      <c r="C99" s="92"/>
      <c r="D99" s="92"/>
      <c r="E99" s="92"/>
      <c r="F99" s="84">
        <v>1</v>
      </c>
      <c r="G99" s="85" t="s">
        <v>11</v>
      </c>
      <c r="H99" s="84" t="s">
        <v>36</v>
      </c>
      <c r="I99" s="86"/>
      <c r="J99" s="86"/>
      <c r="K99" s="86" t="s">
        <v>74</v>
      </c>
    </row>
    <row r="100" spans="1:11">
      <c r="A100" s="84">
        <f t="shared" si="2"/>
        <v>92</v>
      </c>
      <c r="B100" s="92" t="s">
        <v>75</v>
      </c>
      <c r="C100" s="92"/>
      <c r="D100" s="92"/>
      <c r="E100" s="92"/>
      <c r="F100" s="84">
        <v>1</v>
      </c>
      <c r="G100" s="85" t="s">
        <v>11</v>
      </c>
      <c r="H100" s="84" t="s">
        <v>36</v>
      </c>
      <c r="I100" s="86"/>
      <c r="J100" s="86"/>
      <c r="K100" s="86" t="s">
        <v>74</v>
      </c>
    </row>
    <row r="101" spans="1:11" s="107" customFormat="1">
      <c r="A101" s="103">
        <f t="shared" si="2"/>
        <v>93</v>
      </c>
      <c r="B101" s="104" t="s">
        <v>112</v>
      </c>
      <c r="C101" s="104"/>
      <c r="D101" s="104"/>
      <c r="E101" s="104"/>
      <c r="F101" s="103">
        <v>1</v>
      </c>
      <c r="G101" s="105" t="s">
        <v>11</v>
      </c>
      <c r="H101" s="103" t="s">
        <v>36</v>
      </c>
      <c r="I101" s="106" t="s">
        <v>248</v>
      </c>
      <c r="J101" s="106"/>
      <c r="K101" s="106" t="s">
        <v>74</v>
      </c>
    </row>
    <row r="102" spans="1:11">
      <c r="A102" s="84">
        <f t="shared" si="2"/>
        <v>94</v>
      </c>
      <c r="B102" s="92" t="s">
        <v>100</v>
      </c>
      <c r="C102" s="92"/>
      <c r="D102" s="92"/>
      <c r="E102" s="92"/>
      <c r="F102" s="84">
        <v>1</v>
      </c>
      <c r="G102" s="85" t="s">
        <v>11</v>
      </c>
      <c r="H102" s="84" t="s">
        <v>36</v>
      </c>
      <c r="I102" s="86"/>
      <c r="J102" s="86"/>
      <c r="K102" s="86" t="s">
        <v>74</v>
      </c>
    </row>
    <row r="103" spans="1:11">
      <c r="A103" s="84">
        <f t="shared" si="2"/>
        <v>95</v>
      </c>
      <c r="B103" s="92" t="s">
        <v>76</v>
      </c>
      <c r="C103" s="92"/>
      <c r="D103" s="92"/>
      <c r="E103" s="92"/>
      <c r="F103" s="84">
        <v>1</v>
      </c>
      <c r="G103" s="85" t="s">
        <v>11</v>
      </c>
      <c r="H103" s="84" t="s">
        <v>36</v>
      </c>
      <c r="I103" s="86"/>
      <c r="J103" s="86"/>
      <c r="K103" s="86" t="s">
        <v>74</v>
      </c>
    </row>
    <row r="104" spans="1:11">
      <c r="A104" s="84">
        <f t="shared" si="2"/>
        <v>96</v>
      </c>
      <c r="B104" s="92" t="s">
        <v>77</v>
      </c>
      <c r="C104" s="92"/>
      <c r="D104" s="92"/>
      <c r="E104" s="92"/>
      <c r="F104" s="84">
        <v>1</v>
      </c>
      <c r="G104" s="85" t="s">
        <v>11</v>
      </c>
      <c r="H104" s="84" t="s">
        <v>36</v>
      </c>
      <c r="I104" s="86"/>
      <c r="J104" s="86"/>
      <c r="K104" s="86" t="s">
        <v>74</v>
      </c>
    </row>
    <row r="105" spans="1:11">
      <c r="A105" s="84">
        <f t="shared" si="2"/>
        <v>97</v>
      </c>
      <c r="B105" s="92" t="s">
        <v>78</v>
      </c>
      <c r="C105" s="92"/>
      <c r="D105" s="92"/>
      <c r="E105" s="92"/>
      <c r="F105" s="84">
        <v>1</v>
      </c>
      <c r="G105" s="85" t="s">
        <v>11</v>
      </c>
      <c r="H105" s="84" t="s">
        <v>36</v>
      </c>
      <c r="I105" s="86"/>
      <c r="J105" s="86"/>
      <c r="K105" s="86" t="s">
        <v>74</v>
      </c>
    </row>
    <row r="106" spans="1:11">
      <c r="A106" s="84">
        <f t="shared" si="2"/>
        <v>98</v>
      </c>
      <c r="B106" s="92" t="s">
        <v>79</v>
      </c>
      <c r="C106" s="92"/>
      <c r="D106" s="92"/>
      <c r="E106" s="92"/>
      <c r="F106" s="84">
        <v>1</v>
      </c>
      <c r="G106" s="85" t="s">
        <v>11</v>
      </c>
      <c r="H106" s="84" t="s">
        <v>36</v>
      </c>
      <c r="I106" s="86"/>
      <c r="J106" s="86"/>
      <c r="K106" s="86" t="s">
        <v>74</v>
      </c>
    </row>
    <row r="107" spans="1:11">
      <c r="A107" s="84">
        <f t="shared" si="2"/>
        <v>99</v>
      </c>
      <c r="B107" s="92" t="s">
        <v>13</v>
      </c>
      <c r="C107" s="92"/>
      <c r="D107" s="92"/>
      <c r="E107" s="92"/>
      <c r="F107" s="84">
        <v>1</v>
      </c>
      <c r="G107" s="85" t="s">
        <v>11</v>
      </c>
      <c r="H107" s="84" t="s">
        <v>36</v>
      </c>
      <c r="I107" s="86"/>
      <c r="J107" s="86"/>
      <c r="K107" s="86" t="s">
        <v>74</v>
      </c>
    </row>
    <row r="108" spans="1:11" ht="48">
      <c r="A108" s="84">
        <f t="shared" si="2"/>
        <v>100</v>
      </c>
      <c r="B108" s="92" t="s">
        <v>80</v>
      </c>
      <c r="C108" s="92"/>
      <c r="D108" s="92"/>
      <c r="E108" s="92"/>
      <c r="F108" s="84">
        <v>1</v>
      </c>
      <c r="G108" s="85" t="s">
        <v>12</v>
      </c>
      <c r="H108" s="84" t="s">
        <v>36</v>
      </c>
      <c r="I108" s="86"/>
      <c r="J108" s="86"/>
      <c r="K108" s="87" t="s">
        <v>81</v>
      </c>
    </row>
    <row r="109" spans="1:11" ht="32">
      <c r="A109" s="84">
        <f t="shared" si="2"/>
        <v>101</v>
      </c>
      <c r="B109" s="92" t="s">
        <v>102</v>
      </c>
      <c r="C109" s="92"/>
      <c r="D109" s="92"/>
      <c r="E109" s="92"/>
      <c r="F109" s="84">
        <v>1</v>
      </c>
      <c r="G109" s="85" t="s">
        <v>12</v>
      </c>
      <c r="H109" s="84" t="s">
        <v>36</v>
      </c>
      <c r="I109" s="86" t="s">
        <v>101</v>
      </c>
      <c r="J109" s="86"/>
      <c r="K109" s="87" t="s">
        <v>83</v>
      </c>
    </row>
    <row r="110" spans="1:11">
      <c r="A110" s="84">
        <f t="shared" si="2"/>
        <v>102</v>
      </c>
      <c r="B110" s="92" t="s">
        <v>82</v>
      </c>
      <c r="C110" s="92"/>
      <c r="D110" s="92"/>
      <c r="E110" s="92"/>
      <c r="F110" s="84">
        <v>10</v>
      </c>
      <c r="G110" s="85" t="s">
        <v>12</v>
      </c>
      <c r="H110" s="84" t="s">
        <v>36</v>
      </c>
      <c r="I110" s="86"/>
      <c r="J110" s="86"/>
      <c r="K110" s="87"/>
    </row>
    <row r="111" spans="1:11" ht="48">
      <c r="A111" s="84">
        <f t="shared" si="2"/>
        <v>103</v>
      </c>
      <c r="B111" s="92" t="s">
        <v>84</v>
      </c>
      <c r="C111" s="92"/>
      <c r="D111" s="92"/>
      <c r="E111" s="92"/>
      <c r="F111" s="84">
        <v>1</v>
      </c>
      <c r="G111" s="85" t="s">
        <v>11</v>
      </c>
      <c r="H111" s="84" t="s">
        <v>14</v>
      </c>
      <c r="I111" s="87" t="s">
        <v>85</v>
      </c>
      <c r="J111" s="87"/>
      <c r="K111" s="87" t="s">
        <v>86</v>
      </c>
    </row>
    <row r="112" spans="1:11" s="107" customFormat="1">
      <c r="A112" s="103">
        <f t="shared" si="2"/>
        <v>104</v>
      </c>
      <c r="B112" s="168" t="s">
        <v>106</v>
      </c>
      <c r="C112" s="169"/>
      <c r="D112" s="169"/>
      <c r="E112" s="170"/>
      <c r="F112" s="105">
        <v>10.1</v>
      </c>
      <c r="G112" s="105" t="s">
        <v>87</v>
      </c>
      <c r="H112" s="103" t="s">
        <v>36</v>
      </c>
      <c r="I112" s="134" t="s">
        <v>111</v>
      </c>
      <c r="J112" s="134" t="s">
        <v>103</v>
      </c>
      <c r="K112" s="106"/>
    </row>
    <row r="113" spans="1:18" s="107" customFormat="1">
      <c r="A113" s="103">
        <f t="shared" si="2"/>
        <v>105</v>
      </c>
      <c r="B113" s="168" t="s">
        <v>107</v>
      </c>
      <c r="C113" s="169"/>
      <c r="D113" s="169"/>
      <c r="E113" s="170"/>
      <c r="F113" s="105">
        <v>10.1</v>
      </c>
      <c r="G113" s="105" t="s">
        <v>87</v>
      </c>
      <c r="H113" s="103" t="s">
        <v>36</v>
      </c>
      <c r="I113" s="134" t="s">
        <v>111</v>
      </c>
      <c r="J113" s="134"/>
      <c r="K113" s="106"/>
    </row>
    <row r="114" spans="1:18" s="107" customFormat="1">
      <c r="A114" s="103">
        <f t="shared" si="2"/>
        <v>106</v>
      </c>
      <c r="B114" s="168" t="s">
        <v>108</v>
      </c>
      <c r="C114" s="169"/>
      <c r="D114" s="169"/>
      <c r="E114" s="170"/>
      <c r="F114" s="105">
        <v>10.1</v>
      </c>
      <c r="G114" s="105" t="s">
        <v>87</v>
      </c>
      <c r="H114" s="103" t="s">
        <v>36</v>
      </c>
      <c r="I114" s="134" t="s">
        <v>111</v>
      </c>
      <c r="J114" s="134"/>
      <c r="K114" s="106"/>
    </row>
    <row r="115" spans="1:18" s="107" customFormat="1">
      <c r="A115" s="103">
        <f t="shared" si="2"/>
        <v>107</v>
      </c>
      <c r="B115" s="168" t="s">
        <v>109</v>
      </c>
      <c r="C115" s="169"/>
      <c r="D115" s="169"/>
      <c r="E115" s="171"/>
      <c r="F115" s="105">
        <v>10.1</v>
      </c>
      <c r="G115" s="105" t="s">
        <v>87</v>
      </c>
      <c r="H115" s="103" t="s">
        <v>36</v>
      </c>
      <c r="I115" s="134" t="s">
        <v>111</v>
      </c>
      <c r="J115" s="134"/>
      <c r="K115" s="106"/>
    </row>
    <row r="116" spans="1:18" s="107" customFormat="1">
      <c r="A116" s="103">
        <f t="shared" si="2"/>
        <v>108</v>
      </c>
      <c r="B116" s="168" t="s">
        <v>110</v>
      </c>
      <c r="C116" s="169"/>
      <c r="D116" s="169"/>
      <c r="E116" s="170"/>
      <c r="F116" s="105">
        <v>10.1</v>
      </c>
      <c r="G116" s="105" t="s">
        <v>87</v>
      </c>
      <c r="H116" s="103" t="s">
        <v>36</v>
      </c>
      <c r="I116" s="134" t="s">
        <v>111</v>
      </c>
      <c r="J116" s="134"/>
      <c r="K116" s="106"/>
    </row>
    <row r="117" spans="1:18" s="107" customFormat="1" ht="15" customHeight="1">
      <c r="A117" s="103">
        <f t="shared" si="2"/>
        <v>109</v>
      </c>
      <c r="B117" s="135" t="s">
        <v>226</v>
      </c>
      <c r="C117" s="136"/>
      <c r="D117" s="136"/>
      <c r="E117" s="136"/>
      <c r="F117" s="105">
        <v>10.1</v>
      </c>
      <c r="G117" s="105" t="s">
        <v>87</v>
      </c>
      <c r="H117" s="103" t="s">
        <v>36</v>
      </c>
      <c r="I117" s="134"/>
      <c r="J117" s="134"/>
      <c r="K117" s="106"/>
    </row>
    <row r="118" spans="1:18" s="107" customFormat="1" ht="15" customHeight="1">
      <c r="A118" s="103">
        <f t="shared" si="2"/>
        <v>110</v>
      </c>
      <c r="B118" s="135" t="s">
        <v>227</v>
      </c>
      <c r="C118" s="136"/>
      <c r="D118" s="136"/>
      <c r="E118" s="136"/>
      <c r="F118" s="105">
        <v>10.1</v>
      </c>
      <c r="G118" s="105" t="s">
        <v>87</v>
      </c>
      <c r="H118" s="103" t="s">
        <v>36</v>
      </c>
      <c r="I118" s="134"/>
      <c r="J118" s="134"/>
      <c r="K118" s="106"/>
    </row>
    <row r="119" spans="1:18" s="107" customFormat="1" ht="15" customHeight="1">
      <c r="A119" s="103">
        <f t="shared" si="2"/>
        <v>111</v>
      </c>
      <c r="B119" s="135" t="s">
        <v>228</v>
      </c>
      <c r="C119" s="136"/>
      <c r="D119" s="136"/>
      <c r="E119" s="136"/>
      <c r="F119" s="105">
        <v>10.1</v>
      </c>
      <c r="G119" s="105" t="s">
        <v>87</v>
      </c>
      <c r="H119" s="103" t="s">
        <v>36</v>
      </c>
      <c r="I119" s="134"/>
      <c r="J119" s="134"/>
      <c r="K119" s="106"/>
    </row>
    <row r="120" spans="1:18" s="107" customFormat="1" ht="15" customHeight="1">
      <c r="A120" s="103">
        <f t="shared" si="2"/>
        <v>112</v>
      </c>
      <c r="B120" s="135" t="s">
        <v>229</v>
      </c>
      <c r="C120" s="136"/>
      <c r="D120" s="136"/>
      <c r="E120" s="136"/>
      <c r="F120" s="105">
        <v>10.1</v>
      </c>
      <c r="G120" s="105" t="s">
        <v>87</v>
      </c>
      <c r="H120" s="103" t="s">
        <v>36</v>
      </c>
      <c r="I120" s="134"/>
      <c r="J120" s="134"/>
      <c r="K120" s="106"/>
    </row>
    <row r="121" spans="1:18" s="107" customFormat="1" ht="15" customHeight="1">
      <c r="A121" s="103">
        <f t="shared" si="2"/>
        <v>113</v>
      </c>
      <c r="B121" s="135" t="s">
        <v>230</v>
      </c>
      <c r="C121" s="136"/>
      <c r="D121" s="136"/>
      <c r="E121" s="136"/>
      <c r="F121" s="105">
        <v>10.1</v>
      </c>
      <c r="G121" s="105" t="s">
        <v>87</v>
      </c>
      <c r="H121" s="103" t="s">
        <v>36</v>
      </c>
      <c r="I121" s="134"/>
      <c r="J121" s="134"/>
      <c r="K121" s="106"/>
    </row>
    <row r="122" spans="1:18" s="107" customFormat="1">
      <c r="A122" s="103">
        <f t="shared" si="2"/>
        <v>114</v>
      </c>
      <c r="B122" s="104" t="s">
        <v>225</v>
      </c>
      <c r="C122" s="104"/>
      <c r="D122" s="104"/>
      <c r="E122" s="104"/>
      <c r="F122" s="103">
        <v>10</v>
      </c>
      <c r="G122" s="105" t="s">
        <v>12</v>
      </c>
      <c r="H122" s="103" t="s">
        <v>14</v>
      </c>
      <c r="I122" s="106" t="s">
        <v>62</v>
      </c>
      <c r="J122" s="106"/>
      <c r="K122" s="106" t="s">
        <v>63</v>
      </c>
    </row>
    <row r="123" spans="1:18" s="107" customFormat="1" ht="15" customHeight="1">
      <c r="A123" s="103">
        <f t="shared" si="2"/>
        <v>115</v>
      </c>
      <c r="B123" s="135" t="s">
        <v>231</v>
      </c>
      <c r="C123" s="136"/>
      <c r="D123" s="136"/>
      <c r="E123" s="136"/>
      <c r="F123" s="105">
        <v>1</v>
      </c>
      <c r="G123" s="105" t="s">
        <v>12</v>
      </c>
      <c r="H123" s="103" t="s">
        <v>36</v>
      </c>
      <c r="I123" s="137" t="s">
        <v>232</v>
      </c>
      <c r="J123" s="134"/>
      <c r="K123" s="106"/>
    </row>
    <row r="124" spans="1:18" s="107" customFormat="1" ht="15" customHeight="1">
      <c r="A124" s="103">
        <f t="shared" si="2"/>
        <v>116</v>
      </c>
      <c r="B124" s="135" t="s">
        <v>1278</v>
      </c>
      <c r="C124" s="136"/>
      <c r="D124" s="136"/>
      <c r="E124" s="136"/>
      <c r="F124" s="105"/>
      <c r="G124" s="105" t="s">
        <v>12</v>
      </c>
      <c r="H124" s="103" t="s">
        <v>36</v>
      </c>
      <c r="I124" s="137" t="s">
        <v>235</v>
      </c>
      <c r="J124" s="134" t="s">
        <v>1274</v>
      </c>
      <c r="K124" s="106"/>
    </row>
    <row r="125" spans="1:18" s="107" customFormat="1" ht="15" customHeight="1">
      <c r="A125" s="103">
        <f t="shared" si="2"/>
        <v>117</v>
      </c>
      <c r="B125" s="138" t="s">
        <v>234</v>
      </c>
      <c r="C125" s="136"/>
      <c r="D125" s="136"/>
      <c r="E125" s="136"/>
      <c r="F125" s="105"/>
      <c r="G125" s="105" t="s">
        <v>87</v>
      </c>
      <c r="H125" s="103" t="s">
        <v>36</v>
      </c>
      <c r="I125" s="139" t="s">
        <v>236</v>
      </c>
      <c r="J125" s="134"/>
      <c r="K125" s="106"/>
    </row>
    <row r="126" spans="1:18" s="115" customFormat="1" ht="32">
      <c r="A126" s="108">
        <f t="shared" si="2"/>
        <v>118</v>
      </c>
      <c r="B126" s="109" t="s">
        <v>89</v>
      </c>
      <c r="C126" s="110"/>
      <c r="D126" s="110"/>
      <c r="E126" s="110"/>
      <c r="F126" s="111">
        <v>1</v>
      </c>
      <c r="G126" s="112" t="s">
        <v>11</v>
      </c>
      <c r="H126" s="108" t="s">
        <v>36</v>
      </c>
      <c r="I126" s="113"/>
      <c r="J126" s="114"/>
      <c r="K126" s="113" t="s">
        <v>105</v>
      </c>
      <c r="L126" s="37"/>
      <c r="M126" s="37"/>
      <c r="N126" s="37"/>
      <c r="O126" s="37"/>
      <c r="P126" s="37"/>
      <c r="Q126" s="37"/>
      <c r="R126" s="37"/>
    </row>
    <row r="127" spans="1:18" ht="272">
      <c r="A127" s="84">
        <f t="shared" si="2"/>
        <v>119</v>
      </c>
      <c r="B127" s="116" t="s">
        <v>204</v>
      </c>
      <c r="C127" s="74"/>
      <c r="D127" s="74"/>
      <c r="E127" s="75"/>
      <c r="F127" s="117">
        <v>3</v>
      </c>
      <c r="G127" s="117" t="s">
        <v>11</v>
      </c>
      <c r="H127" s="108" t="s">
        <v>36</v>
      </c>
      <c r="I127" s="118" t="s">
        <v>88</v>
      </c>
      <c r="J127" s="118"/>
      <c r="K127" s="119" t="s">
        <v>104</v>
      </c>
    </row>
    <row r="128" spans="1:18">
      <c r="A128" s="84">
        <f t="shared" si="2"/>
        <v>120</v>
      </c>
      <c r="B128" s="120" t="s">
        <v>115</v>
      </c>
      <c r="C128" s="123">
        <v>1</v>
      </c>
      <c r="D128" s="121"/>
      <c r="E128" s="121"/>
      <c r="F128" s="122"/>
      <c r="G128" s="123"/>
      <c r="H128" s="122"/>
      <c r="I128" s="120"/>
      <c r="J128" s="120"/>
      <c r="K128" s="120"/>
    </row>
    <row r="129" spans="1:11">
      <c r="A129" s="108">
        <f t="shared" si="2"/>
        <v>121</v>
      </c>
      <c r="B129" s="120" t="s">
        <v>115</v>
      </c>
      <c r="C129" s="123">
        <v>2</v>
      </c>
      <c r="D129" s="121"/>
      <c r="E129" s="121"/>
      <c r="F129" s="122"/>
      <c r="G129" s="123"/>
      <c r="H129" s="122"/>
      <c r="I129" s="120"/>
      <c r="J129" s="120"/>
      <c r="K129" s="120"/>
    </row>
    <row r="130" spans="1:11">
      <c r="A130" s="84">
        <f t="shared" si="2"/>
        <v>122</v>
      </c>
      <c r="B130" s="120" t="s">
        <v>115</v>
      </c>
      <c r="C130" s="123">
        <v>3</v>
      </c>
      <c r="D130" s="121"/>
      <c r="E130" s="121"/>
      <c r="F130" s="122"/>
      <c r="G130" s="123"/>
      <c r="H130" s="122"/>
      <c r="I130" s="120"/>
      <c r="J130" s="120"/>
      <c r="K130" s="120"/>
    </row>
    <row r="131" spans="1:11">
      <c r="A131" s="108">
        <f t="shared" si="2"/>
        <v>123</v>
      </c>
      <c r="B131" s="120" t="s">
        <v>115</v>
      </c>
      <c r="C131" s="123">
        <v>4</v>
      </c>
      <c r="D131" s="121"/>
      <c r="E131" s="121"/>
      <c r="F131" s="122"/>
      <c r="G131" s="123"/>
      <c r="H131" s="122"/>
      <c r="I131" s="120"/>
      <c r="J131" s="120"/>
      <c r="K131" s="120"/>
    </row>
    <row r="132" spans="1:11">
      <c r="A132" s="84">
        <f t="shared" si="2"/>
        <v>124</v>
      </c>
      <c r="B132" s="120" t="s">
        <v>115</v>
      </c>
      <c r="C132" s="123">
        <v>5</v>
      </c>
      <c r="D132" s="121"/>
      <c r="E132" s="121"/>
      <c r="F132" s="122"/>
      <c r="G132" s="123"/>
      <c r="H132" s="122"/>
      <c r="I132" s="120"/>
      <c r="J132" s="120"/>
      <c r="K132" s="120"/>
    </row>
    <row r="133" spans="1:11">
      <c r="A133" s="108">
        <f t="shared" si="2"/>
        <v>125</v>
      </c>
      <c r="B133" s="120" t="s">
        <v>115</v>
      </c>
      <c r="C133" s="123">
        <v>6</v>
      </c>
      <c r="D133" s="121"/>
      <c r="E133" s="121"/>
      <c r="F133" s="122"/>
      <c r="G133" s="123"/>
      <c r="H133" s="122"/>
      <c r="I133" s="120"/>
      <c r="J133" s="120"/>
      <c r="K133" s="120"/>
    </row>
    <row r="134" spans="1:11">
      <c r="A134" s="84">
        <f t="shared" ref="A134:A153" si="3">ROW()-8</f>
        <v>126</v>
      </c>
      <c r="B134" s="120" t="s">
        <v>115</v>
      </c>
      <c r="C134" s="123">
        <v>7</v>
      </c>
      <c r="D134" s="121"/>
      <c r="E134" s="121"/>
      <c r="F134" s="122"/>
      <c r="G134" s="123"/>
      <c r="H134" s="122"/>
      <c r="I134" s="120"/>
      <c r="J134" s="120"/>
      <c r="K134" s="120"/>
    </row>
    <row r="135" spans="1:11">
      <c r="A135" s="108">
        <f t="shared" si="3"/>
        <v>127</v>
      </c>
      <c r="B135" s="120" t="s">
        <v>115</v>
      </c>
      <c r="C135" s="123">
        <v>8</v>
      </c>
      <c r="D135" s="121"/>
      <c r="E135" s="121"/>
      <c r="F135" s="122"/>
      <c r="G135" s="123"/>
      <c r="H135" s="122"/>
      <c r="I135" s="120"/>
      <c r="J135" s="120"/>
      <c r="K135" s="120"/>
    </row>
    <row r="136" spans="1:11">
      <c r="A136" s="84">
        <f t="shared" si="3"/>
        <v>128</v>
      </c>
      <c r="B136" s="120" t="s">
        <v>115</v>
      </c>
      <c r="C136" s="123">
        <v>9</v>
      </c>
      <c r="D136" s="121"/>
      <c r="E136" s="121"/>
      <c r="F136" s="122"/>
      <c r="G136" s="123"/>
      <c r="H136" s="122"/>
      <c r="I136" s="120"/>
      <c r="J136" s="120"/>
      <c r="K136" s="120"/>
    </row>
    <row r="137" spans="1:11">
      <c r="A137" s="108">
        <f t="shared" si="3"/>
        <v>129</v>
      </c>
      <c r="B137" s="120" t="s">
        <v>115</v>
      </c>
      <c r="C137" s="123">
        <v>10</v>
      </c>
      <c r="D137" s="121"/>
      <c r="E137" s="121"/>
      <c r="F137" s="122"/>
      <c r="G137" s="123"/>
      <c r="H137" s="122"/>
      <c r="I137" s="120"/>
      <c r="J137" s="120"/>
      <c r="K137" s="120"/>
    </row>
    <row r="138" spans="1:11">
      <c r="A138" s="84">
        <f t="shared" si="3"/>
        <v>130</v>
      </c>
      <c r="B138" s="120" t="s">
        <v>115</v>
      </c>
      <c r="C138" s="123">
        <v>11</v>
      </c>
      <c r="D138" s="121"/>
      <c r="E138" s="121"/>
      <c r="F138" s="122"/>
      <c r="G138" s="123"/>
      <c r="H138" s="122"/>
      <c r="I138" s="120"/>
      <c r="J138" s="120"/>
      <c r="K138" s="120"/>
    </row>
    <row r="139" spans="1:11">
      <c r="A139" s="108">
        <f t="shared" si="3"/>
        <v>131</v>
      </c>
      <c r="B139" s="120" t="s">
        <v>115</v>
      </c>
      <c r="C139" s="123">
        <v>12</v>
      </c>
      <c r="D139" s="121"/>
      <c r="E139" s="121"/>
      <c r="F139" s="122"/>
      <c r="G139" s="123"/>
      <c r="H139" s="122"/>
      <c r="I139" s="120"/>
      <c r="J139" s="120"/>
      <c r="K139" s="120"/>
    </row>
    <row r="140" spans="1:11">
      <c r="A140" s="84">
        <f t="shared" si="3"/>
        <v>132</v>
      </c>
      <c r="B140" s="120" t="s">
        <v>115</v>
      </c>
      <c r="C140" s="123">
        <v>13</v>
      </c>
      <c r="D140" s="121"/>
      <c r="E140" s="121"/>
      <c r="F140" s="122"/>
      <c r="G140" s="123"/>
      <c r="H140" s="122"/>
      <c r="I140" s="120"/>
      <c r="J140" s="120"/>
      <c r="K140" s="120"/>
    </row>
    <row r="141" spans="1:11">
      <c r="A141" s="108">
        <f t="shared" si="3"/>
        <v>133</v>
      </c>
      <c r="B141" s="120" t="s">
        <v>115</v>
      </c>
      <c r="C141" s="123">
        <v>14</v>
      </c>
      <c r="D141" s="121"/>
      <c r="E141" s="121"/>
      <c r="F141" s="122"/>
      <c r="G141" s="123"/>
      <c r="H141" s="122"/>
      <c r="I141" s="120"/>
      <c r="J141" s="120"/>
      <c r="K141" s="120"/>
    </row>
    <row r="142" spans="1:11">
      <c r="A142" s="84">
        <f t="shared" si="3"/>
        <v>134</v>
      </c>
      <c r="B142" s="120" t="s">
        <v>115</v>
      </c>
      <c r="C142" s="123">
        <v>15</v>
      </c>
      <c r="D142" s="121"/>
      <c r="E142" s="121"/>
      <c r="F142" s="122"/>
      <c r="G142" s="123"/>
      <c r="H142" s="122"/>
      <c r="I142" s="120"/>
      <c r="J142" s="120"/>
      <c r="K142" s="120"/>
    </row>
    <row r="143" spans="1:11">
      <c r="A143" s="84">
        <f t="shared" si="3"/>
        <v>135</v>
      </c>
      <c r="B143" s="120" t="s">
        <v>29</v>
      </c>
      <c r="C143" s="123">
        <v>16</v>
      </c>
      <c r="D143" s="121"/>
      <c r="E143" s="121"/>
      <c r="F143" s="122"/>
      <c r="G143" s="123"/>
      <c r="H143" s="122"/>
      <c r="I143" s="120"/>
      <c r="J143" s="120"/>
      <c r="K143" s="120"/>
    </row>
    <row r="144" spans="1:11">
      <c r="A144" s="84">
        <f t="shared" si="3"/>
        <v>136</v>
      </c>
      <c r="B144" s="120" t="s">
        <v>29</v>
      </c>
      <c r="C144" s="123">
        <v>17</v>
      </c>
      <c r="D144" s="121"/>
      <c r="E144" s="121"/>
      <c r="F144" s="122"/>
      <c r="G144" s="123"/>
      <c r="H144" s="122"/>
      <c r="I144" s="120"/>
      <c r="J144" s="120"/>
      <c r="K144" s="120"/>
    </row>
    <row r="145" spans="1:11">
      <c r="A145" s="84">
        <f t="shared" si="3"/>
        <v>137</v>
      </c>
      <c r="B145" s="120" t="s">
        <v>29</v>
      </c>
      <c r="C145" s="123">
        <v>18</v>
      </c>
      <c r="D145" s="121"/>
      <c r="E145" s="121"/>
      <c r="F145" s="122"/>
      <c r="G145" s="123"/>
      <c r="H145" s="122"/>
      <c r="I145" s="120"/>
      <c r="J145" s="120"/>
      <c r="K145" s="120"/>
    </row>
    <row r="146" spans="1:11">
      <c r="A146" s="84">
        <f t="shared" si="3"/>
        <v>138</v>
      </c>
      <c r="B146" s="120" t="s">
        <v>29</v>
      </c>
      <c r="C146" s="123">
        <v>19</v>
      </c>
      <c r="D146" s="121"/>
      <c r="E146" s="121"/>
      <c r="F146" s="122"/>
      <c r="G146" s="123"/>
      <c r="H146" s="122"/>
      <c r="I146" s="120"/>
      <c r="J146" s="120"/>
      <c r="K146" s="120"/>
    </row>
    <row r="147" spans="1:11">
      <c r="A147" s="84">
        <f t="shared" si="3"/>
        <v>139</v>
      </c>
      <c r="B147" s="120" t="s">
        <v>29</v>
      </c>
      <c r="C147" s="123">
        <v>20</v>
      </c>
      <c r="D147" s="121"/>
      <c r="E147" s="121"/>
      <c r="F147" s="122"/>
      <c r="G147" s="123"/>
      <c r="H147" s="122"/>
      <c r="I147" s="120"/>
      <c r="J147" s="120"/>
      <c r="K147" s="120"/>
    </row>
    <row r="148" spans="1:11">
      <c r="A148" s="84">
        <f t="shared" si="3"/>
        <v>140</v>
      </c>
      <c r="B148" s="120" t="s">
        <v>29</v>
      </c>
      <c r="C148" s="123">
        <v>21</v>
      </c>
      <c r="D148" s="121"/>
      <c r="E148" s="121"/>
      <c r="F148" s="122"/>
      <c r="G148" s="123"/>
      <c r="H148" s="122"/>
      <c r="I148" s="120"/>
      <c r="J148" s="120"/>
      <c r="K148" s="120"/>
    </row>
    <row r="149" spans="1:11">
      <c r="A149" s="84">
        <f t="shared" si="3"/>
        <v>141</v>
      </c>
      <c r="B149" s="120" t="s">
        <v>29</v>
      </c>
      <c r="C149" s="123">
        <v>22</v>
      </c>
      <c r="D149" s="121"/>
      <c r="E149" s="121"/>
      <c r="F149" s="122"/>
      <c r="G149" s="123"/>
      <c r="H149" s="122"/>
      <c r="I149" s="120"/>
      <c r="J149" s="120"/>
      <c r="K149" s="120"/>
    </row>
    <row r="150" spans="1:11">
      <c r="A150" s="84">
        <f t="shared" si="3"/>
        <v>142</v>
      </c>
      <c r="B150" s="120" t="s">
        <v>29</v>
      </c>
      <c r="C150" s="123">
        <v>23</v>
      </c>
      <c r="D150" s="121"/>
      <c r="E150" s="121"/>
      <c r="F150" s="122"/>
      <c r="G150" s="123"/>
      <c r="H150" s="122"/>
      <c r="I150" s="120"/>
      <c r="J150" s="120"/>
      <c r="K150" s="120"/>
    </row>
    <row r="151" spans="1:11">
      <c r="A151" s="84">
        <f t="shared" si="3"/>
        <v>143</v>
      </c>
      <c r="B151" s="120" t="s">
        <v>29</v>
      </c>
      <c r="C151" s="123">
        <v>24</v>
      </c>
      <c r="D151" s="121"/>
      <c r="E151" s="121"/>
      <c r="F151" s="122"/>
      <c r="G151" s="123"/>
      <c r="H151" s="122"/>
      <c r="I151" s="120"/>
      <c r="J151" s="120"/>
      <c r="K151" s="120"/>
    </row>
    <row r="152" spans="1:11">
      <c r="A152" s="84">
        <f t="shared" si="3"/>
        <v>144</v>
      </c>
      <c r="B152" s="120" t="s">
        <v>29</v>
      </c>
      <c r="C152" s="123">
        <v>25</v>
      </c>
      <c r="D152" s="121"/>
      <c r="E152" s="121"/>
      <c r="F152" s="122"/>
      <c r="G152" s="123"/>
      <c r="H152" s="122"/>
      <c r="I152" s="120"/>
      <c r="J152" s="120"/>
      <c r="K152" s="120"/>
    </row>
    <row r="153" spans="1:11">
      <c r="A153" s="84">
        <f t="shared" si="3"/>
        <v>145</v>
      </c>
      <c r="B153" s="120" t="s">
        <v>29</v>
      </c>
      <c r="C153" s="123">
        <v>26</v>
      </c>
      <c r="D153" s="121"/>
      <c r="E153" s="121"/>
      <c r="F153" s="122"/>
      <c r="G153" s="123"/>
      <c r="H153" s="122"/>
      <c r="I153" s="120"/>
      <c r="J153" s="120"/>
      <c r="K153" s="120"/>
    </row>
  </sheetData>
  <mergeCells count="53">
    <mergeCell ref="B7:E7"/>
    <mergeCell ref="B114:E114"/>
    <mergeCell ref="B115:D115"/>
    <mergeCell ref="B116:E116"/>
    <mergeCell ref="B127:E127"/>
    <mergeCell ref="B126:E126"/>
    <mergeCell ref="B122:E122"/>
    <mergeCell ref="B108:E108"/>
    <mergeCell ref="B109:E109"/>
    <mergeCell ref="B111:E111"/>
    <mergeCell ref="B112:E112"/>
    <mergeCell ref="B113:E113"/>
    <mergeCell ref="B107:E107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  <mergeCell ref="B101:E101"/>
    <mergeCell ref="B80:E80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82:E82"/>
    <mergeCell ref="B110:E110"/>
    <mergeCell ref="A4:K5"/>
    <mergeCell ref="A1:C1"/>
    <mergeCell ref="D1:H1"/>
    <mergeCell ref="A2:C2"/>
    <mergeCell ref="D2:H2"/>
    <mergeCell ref="A3:C3"/>
    <mergeCell ref="B81:E81"/>
    <mergeCell ref="B6:E6"/>
    <mergeCell ref="I6:K6"/>
    <mergeCell ref="A8:A10"/>
    <mergeCell ref="B8:E10"/>
    <mergeCell ref="B11:E11"/>
    <mergeCell ref="B12:E12"/>
    <mergeCell ref="B49:E49"/>
  </mergeCells>
  <phoneticPr fontId="2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EF4E-48FC-4771-AB58-7CDED8372216}">
  <dimension ref="A1:G254"/>
  <sheetViews>
    <sheetView workbookViewId="0">
      <selection activeCell="J11" sqref="J11"/>
    </sheetView>
  </sheetViews>
  <sheetFormatPr defaultRowHeight="13"/>
  <cols>
    <col min="1" max="1" width="8.7265625" style="154"/>
    <col min="4" max="4" width="8.7265625" style="158"/>
    <col min="5" max="5" width="21.90625" customWidth="1"/>
    <col min="6" max="7" width="18.453125" customWidth="1"/>
  </cols>
  <sheetData>
    <row r="1" spans="1:7" ht="13.5" thickBot="1"/>
    <row r="2" spans="1:7" s="157" customFormat="1" ht="17.5">
      <c r="A2" s="156" t="s">
        <v>10</v>
      </c>
      <c r="B2" s="162" t="s">
        <v>249</v>
      </c>
      <c r="C2" s="163" t="s">
        <v>250</v>
      </c>
      <c r="D2" s="164" t="s">
        <v>251</v>
      </c>
      <c r="E2" s="163" t="s">
        <v>252</v>
      </c>
      <c r="F2" s="163" t="s">
        <v>253</v>
      </c>
      <c r="G2" s="165" t="s">
        <v>254</v>
      </c>
    </row>
    <row r="3" spans="1:7" ht="14.5">
      <c r="A3" s="155">
        <f>ROW()-2</f>
        <v>1</v>
      </c>
      <c r="B3" s="143">
        <v>20</v>
      </c>
      <c r="C3" s="140" t="s">
        <v>255</v>
      </c>
      <c r="D3" s="159" t="s">
        <v>256</v>
      </c>
      <c r="E3" s="141" t="s">
        <v>257</v>
      </c>
      <c r="F3" s="142" t="s">
        <v>258</v>
      </c>
      <c r="G3" s="144" t="s">
        <v>259</v>
      </c>
    </row>
    <row r="4" spans="1:7" ht="14.5">
      <c r="A4" s="155">
        <f t="shared" ref="A4:A67" si="0">ROW()-2</f>
        <v>2</v>
      </c>
      <c r="B4" s="143">
        <v>784</v>
      </c>
      <c r="C4" s="140" t="s">
        <v>260</v>
      </c>
      <c r="D4" s="159" t="s">
        <v>261</v>
      </c>
      <c r="E4" s="141" t="s">
        <v>262</v>
      </c>
      <c r="F4" s="142" t="s">
        <v>263</v>
      </c>
      <c r="G4" s="144" t="s">
        <v>264</v>
      </c>
    </row>
    <row r="5" spans="1:7" ht="14.5">
      <c r="A5" s="155">
        <f t="shared" si="0"/>
        <v>3</v>
      </c>
      <c r="B5" s="143">
        <v>4</v>
      </c>
      <c r="C5" s="140" t="s">
        <v>265</v>
      </c>
      <c r="D5" s="159" t="s">
        <v>266</v>
      </c>
      <c r="E5" s="141" t="s">
        <v>267</v>
      </c>
      <c r="F5" s="142" t="s">
        <v>268</v>
      </c>
      <c r="G5" s="144" t="s">
        <v>264</v>
      </c>
    </row>
    <row r="6" spans="1:7" ht="14.5">
      <c r="A6" s="155">
        <f t="shared" si="0"/>
        <v>4</v>
      </c>
      <c r="B6" s="143">
        <v>28</v>
      </c>
      <c r="C6" s="140" t="s">
        <v>269</v>
      </c>
      <c r="D6" s="159" t="s">
        <v>270</v>
      </c>
      <c r="E6" s="141" t="s">
        <v>271</v>
      </c>
      <c r="F6" s="142" t="s">
        <v>272</v>
      </c>
      <c r="G6" s="144" t="s">
        <v>273</v>
      </c>
    </row>
    <row r="7" spans="1:7" ht="14.5">
      <c r="A7" s="155">
        <f t="shared" si="0"/>
        <v>5</v>
      </c>
      <c r="B7" s="143">
        <v>660</v>
      </c>
      <c r="C7" s="140" t="s">
        <v>274</v>
      </c>
      <c r="D7" s="159" t="s">
        <v>275</v>
      </c>
      <c r="E7" s="141" t="s">
        <v>276</v>
      </c>
      <c r="F7" s="142" t="s">
        <v>277</v>
      </c>
      <c r="G7" s="144" t="s">
        <v>273</v>
      </c>
    </row>
    <row r="8" spans="1:7" ht="14.5">
      <c r="A8" s="155">
        <f t="shared" si="0"/>
        <v>6</v>
      </c>
      <c r="B8" s="143">
        <v>8</v>
      </c>
      <c r="C8" s="140" t="s">
        <v>278</v>
      </c>
      <c r="D8" s="159" t="s">
        <v>279</v>
      </c>
      <c r="E8" s="141" t="s">
        <v>280</v>
      </c>
      <c r="F8" s="142" t="s">
        <v>281</v>
      </c>
      <c r="G8" s="144" t="s">
        <v>282</v>
      </c>
    </row>
    <row r="9" spans="1:7" ht="14.5">
      <c r="A9" s="155">
        <f t="shared" si="0"/>
        <v>7</v>
      </c>
      <c r="B9" s="143">
        <v>51</v>
      </c>
      <c r="C9" s="140" t="s">
        <v>283</v>
      </c>
      <c r="D9" s="159" t="s">
        <v>284</v>
      </c>
      <c r="E9" s="141" t="s">
        <v>285</v>
      </c>
      <c r="F9" s="142" t="s">
        <v>286</v>
      </c>
      <c r="G9" s="144" t="s">
        <v>282</v>
      </c>
    </row>
    <row r="10" spans="1:7" ht="14.5">
      <c r="A10" s="155">
        <f t="shared" si="0"/>
        <v>8</v>
      </c>
      <c r="B10" s="143">
        <v>24</v>
      </c>
      <c r="C10" s="140" t="s">
        <v>287</v>
      </c>
      <c r="D10" s="159" t="s">
        <v>288</v>
      </c>
      <c r="E10" s="141" t="s">
        <v>289</v>
      </c>
      <c r="F10" s="142" t="s">
        <v>290</v>
      </c>
      <c r="G10" s="144" t="s">
        <v>291</v>
      </c>
    </row>
    <row r="11" spans="1:7" ht="14.5">
      <c r="A11" s="155">
        <f t="shared" si="0"/>
        <v>9</v>
      </c>
      <c r="B11" s="143">
        <v>10</v>
      </c>
      <c r="C11" s="140" t="s">
        <v>292</v>
      </c>
      <c r="D11" s="159" t="s">
        <v>293</v>
      </c>
      <c r="E11" s="141" t="s">
        <v>294</v>
      </c>
      <c r="F11" s="142" t="s">
        <v>295</v>
      </c>
      <c r="G11" s="144" t="s">
        <v>294</v>
      </c>
    </row>
    <row r="12" spans="1:7" ht="14.5">
      <c r="A12" s="155">
        <f t="shared" si="0"/>
        <v>10</v>
      </c>
      <c r="B12" s="143">
        <v>32</v>
      </c>
      <c r="C12" s="140" t="s">
        <v>296</v>
      </c>
      <c r="D12" s="159" t="s">
        <v>297</v>
      </c>
      <c r="E12" s="141" t="s">
        <v>298</v>
      </c>
      <c r="F12" s="142" t="s">
        <v>299</v>
      </c>
      <c r="G12" s="144" t="s">
        <v>300</v>
      </c>
    </row>
    <row r="13" spans="1:7" ht="14.5">
      <c r="A13" s="155">
        <f t="shared" si="0"/>
        <v>11</v>
      </c>
      <c r="B13" s="143">
        <v>16</v>
      </c>
      <c r="C13" s="140" t="s">
        <v>301</v>
      </c>
      <c r="D13" s="159" t="s">
        <v>302</v>
      </c>
      <c r="E13" s="141" t="s">
        <v>303</v>
      </c>
      <c r="F13" s="142" t="s">
        <v>304</v>
      </c>
      <c r="G13" s="144" t="s">
        <v>305</v>
      </c>
    </row>
    <row r="14" spans="1:7" ht="14.5">
      <c r="A14" s="155">
        <f t="shared" si="0"/>
        <v>12</v>
      </c>
      <c r="B14" s="143">
        <v>40</v>
      </c>
      <c r="C14" s="140" t="s">
        <v>306</v>
      </c>
      <c r="D14" s="159" t="s">
        <v>307</v>
      </c>
      <c r="E14" s="141" t="s">
        <v>308</v>
      </c>
      <c r="F14" s="142" t="s">
        <v>309</v>
      </c>
      <c r="G14" s="144" t="s">
        <v>282</v>
      </c>
    </row>
    <row r="15" spans="1:7" ht="14.5">
      <c r="A15" s="155">
        <f t="shared" si="0"/>
        <v>13</v>
      </c>
      <c r="B15" s="143">
        <v>36</v>
      </c>
      <c r="C15" s="140" t="s">
        <v>310</v>
      </c>
      <c r="D15" s="159" t="s">
        <v>311</v>
      </c>
      <c r="E15" s="141" t="s">
        <v>312</v>
      </c>
      <c r="F15" s="142" t="s">
        <v>313</v>
      </c>
      <c r="G15" s="144" t="s">
        <v>305</v>
      </c>
    </row>
    <row r="16" spans="1:7" ht="14.5">
      <c r="A16" s="155">
        <f t="shared" si="0"/>
        <v>14</v>
      </c>
      <c r="B16" s="143">
        <v>533</v>
      </c>
      <c r="C16" s="140" t="s">
        <v>314</v>
      </c>
      <c r="D16" s="159" t="s">
        <v>315</v>
      </c>
      <c r="E16" s="141" t="s">
        <v>316</v>
      </c>
      <c r="F16" s="142" t="s">
        <v>317</v>
      </c>
      <c r="G16" s="144" t="s">
        <v>273</v>
      </c>
    </row>
    <row r="17" spans="1:7" ht="14.5">
      <c r="A17" s="155">
        <f t="shared" si="0"/>
        <v>15</v>
      </c>
      <c r="B17" s="143">
        <v>248</v>
      </c>
      <c r="C17" s="140" t="s">
        <v>318</v>
      </c>
      <c r="D17" s="159" t="s">
        <v>319</v>
      </c>
      <c r="E17" s="141" t="s">
        <v>320</v>
      </c>
      <c r="F17" s="142" t="s">
        <v>321</v>
      </c>
      <c r="G17" s="144" t="s">
        <v>322</v>
      </c>
    </row>
    <row r="18" spans="1:7" ht="14.5">
      <c r="A18" s="155">
        <f t="shared" si="0"/>
        <v>16</v>
      </c>
      <c r="B18" s="143">
        <v>31</v>
      </c>
      <c r="C18" s="140" t="s">
        <v>323</v>
      </c>
      <c r="D18" s="159" t="s">
        <v>324</v>
      </c>
      <c r="E18" s="141" t="s">
        <v>325</v>
      </c>
      <c r="F18" s="142" t="s">
        <v>326</v>
      </c>
      <c r="G18" s="144" t="s">
        <v>282</v>
      </c>
    </row>
    <row r="19" spans="1:7" ht="14.5">
      <c r="A19" s="155">
        <f t="shared" si="0"/>
        <v>17</v>
      </c>
      <c r="B19" s="143">
        <v>70</v>
      </c>
      <c r="C19" s="140" t="s">
        <v>327</v>
      </c>
      <c r="D19" s="159" t="s">
        <v>328</v>
      </c>
      <c r="E19" s="141" t="s">
        <v>329</v>
      </c>
      <c r="F19" s="142" t="s">
        <v>330</v>
      </c>
      <c r="G19" s="144" t="s">
        <v>282</v>
      </c>
    </row>
    <row r="20" spans="1:7" ht="14.5">
      <c r="A20" s="155">
        <f t="shared" si="0"/>
        <v>18</v>
      </c>
      <c r="B20" s="143">
        <v>52</v>
      </c>
      <c r="C20" s="140" t="s">
        <v>331</v>
      </c>
      <c r="D20" s="159" t="s">
        <v>332</v>
      </c>
      <c r="E20" s="141" t="s">
        <v>333</v>
      </c>
      <c r="F20" s="142" t="s">
        <v>334</v>
      </c>
      <c r="G20" s="144" t="s">
        <v>273</v>
      </c>
    </row>
    <row r="21" spans="1:7" ht="14.5">
      <c r="A21" s="155">
        <f t="shared" si="0"/>
        <v>19</v>
      </c>
      <c r="B21" s="143">
        <v>50</v>
      </c>
      <c r="C21" s="140" t="s">
        <v>335</v>
      </c>
      <c r="D21" s="159" t="s">
        <v>336</v>
      </c>
      <c r="E21" s="141" t="s">
        <v>337</v>
      </c>
      <c r="F21" s="142" t="s">
        <v>338</v>
      </c>
      <c r="G21" s="144" t="s">
        <v>339</v>
      </c>
    </row>
    <row r="22" spans="1:7" ht="14.5">
      <c r="A22" s="155">
        <f t="shared" si="0"/>
        <v>20</v>
      </c>
      <c r="B22" s="143">
        <v>56</v>
      </c>
      <c r="C22" s="140" t="s">
        <v>340</v>
      </c>
      <c r="D22" s="159" t="s">
        <v>341</v>
      </c>
      <c r="E22" s="141" t="s">
        <v>342</v>
      </c>
      <c r="F22" s="142" t="s">
        <v>343</v>
      </c>
      <c r="G22" s="144" t="s">
        <v>259</v>
      </c>
    </row>
    <row r="23" spans="1:7" ht="14.5">
      <c r="A23" s="155">
        <f t="shared" si="0"/>
        <v>21</v>
      </c>
      <c r="B23" s="143">
        <v>854</v>
      </c>
      <c r="C23" s="140" t="s">
        <v>344</v>
      </c>
      <c r="D23" s="159" t="s">
        <v>345</v>
      </c>
      <c r="E23" s="141" t="s">
        <v>346</v>
      </c>
      <c r="F23" s="142" t="s">
        <v>347</v>
      </c>
      <c r="G23" s="144" t="s">
        <v>348</v>
      </c>
    </row>
    <row r="24" spans="1:7" ht="14.5">
      <c r="A24" s="155">
        <f t="shared" si="0"/>
        <v>22</v>
      </c>
      <c r="B24" s="143">
        <v>100</v>
      </c>
      <c r="C24" s="140" t="s">
        <v>349</v>
      </c>
      <c r="D24" s="159" t="s">
        <v>350</v>
      </c>
      <c r="E24" s="141" t="s">
        <v>351</v>
      </c>
      <c r="F24" s="142" t="s">
        <v>352</v>
      </c>
      <c r="G24" s="144" t="s">
        <v>282</v>
      </c>
    </row>
    <row r="25" spans="1:7" ht="14.5">
      <c r="A25" s="155">
        <f t="shared" si="0"/>
        <v>23</v>
      </c>
      <c r="B25" s="143">
        <v>48</v>
      </c>
      <c r="C25" s="140" t="s">
        <v>353</v>
      </c>
      <c r="D25" s="159" t="s">
        <v>354</v>
      </c>
      <c r="E25" s="141" t="s">
        <v>355</v>
      </c>
      <c r="F25" s="142" t="s">
        <v>356</v>
      </c>
      <c r="G25" s="144" t="s">
        <v>264</v>
      </c>
    </row>
    <row r="26" spans="1:7" ht="14.5">
      <c r="A26" s="155">
        <f t="shared" si="0"/>
        <v>24</v>
      </c>
      <c r="B26" s="143">
        <v>108</v>
      </c>
      <c r="C26" s="140" t="s">
        <v>357</v>
      </c>
      <c r="D26" s="159" t="s">
        <v>358</v>
      </c>
      <c r="E26" s="141" t="s">
        <v>359</v>
      </c>
      <c r="F26" s="142" t="s">
        <v>360</v>
      </c>
      <c r="G26" s="144" t="s">
        <v>361</v>
      </c>
    </row>
    <row r="27" spans="1:7" ht="14.5">
      <c r="A27" s="155">
        <f t="shared" si="0"/>
        <v>25</v>
      </c>
      <c r="B27" s="143">
        <v>204</v>
      </c>
      <c r="C27" s="140" t="s">
        <v>362</v>
      </c>
      <c r="D27" s="159" t="s">
        <v>363</v>
      </c>
      <c r="E27" s="141" t="s">
        <v>364</v>
      </c>
      <c r="F27" s="142" t="s">
        <v>365</v>
      </c>
      <c r="G27" s="144" t="s">
        <v>348</v>
      </c>
    </row>
    <row r="28" spans="1:7" ht="14.5">
      <c r="A28" s="155">
        <f t="shared" si="0"/>
        <v>26</v>
      </c>
      <c r="B28" s="143">
        <v>652</v>
      </c>
      <c r="C28" s="140" t="s">
        <v>366</v>
      </c>
      <c r="D28" s="159" t="s">
        <v>367</v>
      </c>
      <c r="E28" s="141" t="s">
        <v>368</v>
      </c>
      <c r="F28" s="142" t="s">
        <v>369</v>
      </c>
      <c r="G28" s="144" t="s">
        <v>273</v>
      </c>
    </row>
    <row r="29" spans="1:7" ht="14.5">
      <c r="A29" s="155">
        <f t="shared" si="0"/>
        <v>27</v>
      </c>
      <c r="B29" s="143">
        <v>60</v>
      </c>
      <c r="C29" s="140" t="s">
        <v>370</v>
      </c>
      <c r="D29" s="159" t="s">
        <v>371</v>
      </c>
      <c r="E29" s="141" t="s">
        <v>372</v>
      </c>
      <c r="F29" s="142" t="s">
        <v>373</v>
      </c>
      <c r="G29" s="144" t="s">
        <v>273</v>
      </c>
    </row>
    <row r="30" spans="1:7" ht="14.5">
      <c r="A30" s="155">
        <f t="shared" si="0"/>
        <v>28</v>
      </c>
      <c r="B30" s="143">
        <v>96</v>
      </c>
      <c r="C30" s="140" t="s">
        <v>374</v>
      </c>
      <c r="D30" s="159" t="s">
        <v>375</v>
      </c>
      <c r="E30" s="141" t="s">
        <v>376</v>
      </c>
      <c r="F30" s="142" t="s">
        <v>377</v>
      </c>
      <c r="G30" s="144" t="s">
        <v>378</v>
      </c>
    </row>
    <row r="31" spans="1:7" ht="29">
      <c r="A31" s="155">
        <f t="shared" si="0"/>
        <v>29</v>
      </c>
      <c r="B31" s="143">
        <v>68</v>
      </c>
      <c r="C31" s="140" t="s">
        <v>379</v>
      </c>
      <c r="D31" s="159" t="s">
        <v>380</v>
      </c>
      <c r="E31" s="141" t="s">
        <v>381</v>
      </c>
      <c r="F31" s="142" t="s">
        <v>382</v>
      </c>
      <c r="G31" s="144" t="s">
        <v>300</v>
      </c>
    </row>
    <row r="32" spans="1:7" ht="29">
      <c r="A32" s="155">
        <f t="shared" si="0"/>
        <v>30</v>
      </c>
      <c r="B32" s="143">
        <v>535</v>
      </c>
      <c r="C32" s="140" t="s">
        <v>383</v>
      </c>
      <c r="D32" s="159" t="s">
        <v>384</v>
      </c>
      <c r="E32" s="141" t="s">
        <v>385</v>
      </c>
      <c r="F32" s="142" t="s">
        <v>386</v>
      </c>
      <c r="G32" s="144" t="s">
        <v>273</v>
      </c>
    </row>
    <row r="33" spans="1:7" ht="14.5">
      <c r="A33" s="155">
        <f t="shared" si="0"/>
        <v>31</v>
      </c>
      <c r="B33" s="143">
        <v>76</v>
      </c>
      <c r="C33" s="140" t="s">
        <v>387</v>
      </c>
      <c r="D33" s="159" t="s">
        <v>388</v>
      </c>
      <c r="E33" s="141" t="s">
        <v>389</v>
      </c>
      <c r="F33" s="142" t="s">
        <v>390</v>
      </c>
      <c r="G33" s="144" t="s">
        <v>300</v>
      </c>
    </row>
    <row r="34" spans="1:7" ht="14.5">
      <c r="A34" s="155">
        <f t="shared" si="0"/>
        <v>32</v>
      </c>
      <c r="B34" s="143">
        <v>44</v>
      </c>
      <c r="C34" s="140" t="s">
        <v>391</v>
      </c>
      <c r="D34" s="159" t="s">
        <v>392</v>
      </c>
      <c r="E34" s="141" t="s">
        <v>393</v>
      </c>
      <c r="F34" s="142" t="s">
        <v>394</v>
      </c>
      <c r="G34" s="144" t="s">
        <v>273</v>
      </c>
    </row>
    <row r="35" spans="1:7" ht="14.5">
      <c r="A35" s="155">
        <f t="shared" si="0"/>
        <v>33</v>
      </c>
      <c r="B35" s="143">
        <v>64</v>
      </c>
      <c r="C35" s="140" t="s">
        <v>395</v>
      </c>
      <c r="D35" s="159" t="s">
        <v>396</v>
      </c>
      <c r="E35" s="141" t="s">
        <v>397</v>
      </c>
      <c r="F35" s="142" t="s">
        <v>398</v>
      </c>
      <c r="G35" s="144" t="s">
        <v>339</v>
      </c>
    </row>
    <row r="36" spans="1:7" ht="14.5">
      <c r="A36" s="155">
        <f t="shared" si="0"/>
        <v>34</v>
      </c>
      <c r="B36" s="143">
        <v>74</v>
      </c>
      <c r="C36" s="140" t="s">
        <v>399</v>
      </c>
      <c r="D36" s="159" t="s">
        <v>400</v>
      </c>
      <c r="E36" s="141" t="s">
        <v>401</v>
      </c>
      <c r="F36" s="142" t="s">
        <v>402</v>
      </c>
      <c r="G36" s="144" t="s">
        <v>294</v>
      </c>
    </row>
    <row r="37" spans="1:7" ht="14.5">
      <c r="A37" s="155">
        <f t="shared" si="0"/>
        <v>35</v>
      </c>
      <c r="B37" s="143">
        <v>72</v>
      </c>
      <c r="C37" s="140" t="s">
        <v>403</v>
      </c>
      <c r="D37" s="159" t="s">
        <v>404</v>
      </c>
      <c r="E37" s="141" t="s">
        <v>405</v>
      </c>
      <c r="F37" s="142" t="s">
        <v>406</v>
      </c>
      <c r="G37" s="144" t="s">
        <v>291</v>
      </c>
    </row>
    <row r="38" spans="1:7" ht="14.5">
      <c r="A38" s="155">
        <f t="shared" si="0"/>
        <v>36</v>
      </c>
      <c r="B38" s="143">
        <v>112</v>
      </c>
      <c r="C38" s="140" t="s">
        <v>407</v>
      </c>
      <c r="D38" s="159" t="s">
        <v>408</v>
      </c>
      <c r="E38" s="141" t="s">
        <v>409</v>
      </c>
      <c r="F38" s="142" t="s">
        <v>410</v>
      </c>
      <c r="G38" s="144" t="s">
        <v>282</v>
      </c>
    </row>
    <row r="39" spans="1:7" ht="14.5">
      <c r="A39" s="155">
        <f t="shared" si="0"/>
        <v>37</v>
      </c>
      <c r="B39" s="143">
        <v>84</v>
      </c>
      <c r="C39" s="140" t="s">
        <v>411</v>
      </c>
      <c r="D39" s="159" t="s">
        <v>412</v>
      </c>
      <c r="E39" s="141" t="s">
        <v>413</v>
      </c>
      <c r="F39" s="142" t="s">
        <v>414</v>
      </c>
      <c r="G39" s="144" t="s">
        <v>273</v>
      </c>
    </row>
    <row r="40" spans="1:7" ht="14.5">
      <c r="A40" s="155">
        <f t="shared" si="0"/>
        <v>38</v>
      </c>
      <c r="B40" s="143">
        <v>124</v>
      </c>
      <c r="C40" s="140" t="s">
        <v>415</v>
      </c>
      <c r="D40" s="159" t="s">
        <v>416</v>
      </c>
      <c r="E40" s="141" t="s">
        <v>417</v>
      </c>
      <c r="F40" s="142" t="s">
        <v>418</v>
      </c>
      <c r="G40" s="144" t="s">
        <v>419</v>
      </c>
    </row>
    <row r="41" spans="1:7" ht="14.5">
      <c r="A41" s="155">
        <f t="shared" si="0"/>
        <v>39</v>
      </c>
      <c r="B41" s="143">
        <v>166</v>
      </c>
      <c r="C41" s="140" t="s">
        <v>420</v>
      </c>
      <c r="D41" s="159" t="s">
        <v>421</v>
      </c>
      <c r="E41" s="141" t="s">
        <v>422</v>
      </c>
      <c r="F41" s="142" t="s">
        <v>423</v>
      </c>
      <c r="G41" s="144" t="s">
        <v>424</v>
      </c>
    </row>
    <row r="42" spans="1:7" ht="43.5">
      <c r="A42" s="155">
        <f t="shared" si="0"/>
        <v>40</v>
      </c>
      <c r="B42" s="143">
        <v>180</v>
      </c>
      <c r="C42" s="140" t="s">
        <v>425</v>
      </c>
      <c r="D42" s="159" t="s">
        <v>426</v>
      </c>
      <c r="E42" s="141" t="s">
        <v>427</v>
      </c>
      <c r="F42" s="142" t="s">
        <v>428</v>
      </c>
      <c r="G42" s="144" t="s">
        <v>361</v>
      </c>
    </row>
    <row r="43" spans="1:7" ht="14.5">
      <c r="A43" s="155">
        <f t="shared" si="0"/>
        <v>41</v>
      </c>
      <c r="B43" s="143">
        <v>140</v>
      </c>
      <c r="C43" s="140" t="s">
        <v>429</v>
      </c>
      <c r="D43" s="159" t="s">
        <v>430</v>
      </c>
      <c r="E43" s="141" t="s">
        <v>431</v>
      </c>
      <c r="F43" s="142" t="s">
        <v>432</v>
      </c>
      <c r="G43" s="144" t="s">
        <v>361</v>
      </c>
    </row>
    <row r="44" spans="1:7" ht="14.5">
      <c r="A44" s="155">
        <f t="shared" si="0"/>
        <v>42</v>
      </c>
      <c r="B44" s="143">
        <v>178</v>
      </c>
      <c r="C44" s="140" t="s">
        <v>433</v>
      </c>
      <c r="D44" s="159" t="s">
        <v>434</v>
      </c>
      <c r="E44" s="141" t="s">
        <v>435</v>
      </c>
      <c r="F44" s="142" t="s">
        <v>436</v>
      </c>
      <c r="G44" s="144" t="s">
        <v>361</v>
      </c>
    </row>
    <row r="45" spans="1:7" ht="14.5">
      <c r="A45" s="155">
        <f t="shared" si="0"/>
        <v>43</v>
      </c>
      <c r="B45" s="143">
        <v>756</v>
      </c>
      <c r="C45" s="140" t="s">
        <v>437</v>
      </c>
      <c r="D45" s="159" t="s">
        <v>438</v>
      </c>
      <c r="E45" s="141" t="s">
        <v>439</v>
      </c>
      <c r="F45" s="142" t="s">
        <v>440</v>
      </c>
      <c r="G45" s="144" t="s">
        <v>259</v>
      </c>
    </row>
    <row r="46" spans="1:7" ht="14.5">
      <c r="A46" s="155">
        <f t="shared" si="0"/>
        <v>44</v>
      </c>
      <c r="B46" s="143">
        <v>384</v>
      </c>
      <c r="C46" s="140" t="s">
        <v>441</v>
      </c>
      <c r="D46" s="159" t="s">
        <v>442</v>
      </c>
      <c r="E46" s="141" t="s">
        <v>443</v>
      </c>
      <c r="F46" s="142" t="s">
        <v>444</v>
      </c>
      <c r="G46" s="144" t="s">
        <v>348</v>
      </c>
    </row>
    <row r="47" spans="1:7" ht="14.5">
      <c r="A47" s="155">
        <f t="shared" si="0"/>
        <v>45</v>
      </c>
      <c r="B47" s="143">
        <v>184</v>
      </c>
      <c r="C47" s="140" t="s">
        <v>445</v>
      </c>
      <c r="D47" s="159" t="s">
        <v>446</v>
      </c>
      <c r="E47" s="141" t="s">
        <v>447</v>
      </c>
      <c r="F47" s="142" t="s">
        <v>448</v>
      </c>
      <c r="G47" s="144" t="s">
        <v>305</v>
      </c>
    </row>
    <row r="48" spans="1:7" ht="14.5">
      <c r="A48" s="155">
        <f t="shared" si="0"/>
        <v>46</v>
      </c>
      <c r="B48" s="143">
        <v>152</v>
      </c>
      <c r="C48" s="140" t="s">
        <v>449</v>
      </c>
      <c r="D48" s="159" t="s">
        <v>450</v>
      </c>
      <c r="E48" s="141" t="s">
        <v>451</v>
      </c>
      <c r="F48" s="142" t="s">
        <v>452</v>
      </c>
      <c r="G48" s="144" t="s">
        <v>300</v>
      </c>
    </row>
    <row r="49" spans="1:7" ht="14.5">
      <c r="A49" s="155">
        <f t="shared" si="0"/>
        <v>47</v>
      </c>
      <c r="B49" s="143">
        <v>120</v>
      </c>
      <c r="C49" s="140" t="s">
        <v>453</v>
      </c>
      <c r="D49" s="159" t="s">
        <v>454</v>
      </c>
      <c r="E49" s="141" t="s">
        <v>455</v>
      </c>
      <c r="F49" s="142" t="s">
        <v>456</v>
      </c>
      <c r="G49" s="144" t="s">
        <v>361</v>
      </c>
    </row>
    <row r="50" spans="1:7" ht="14.5">
      <c r="A50" s="155">
        <f t="shared" si="0"/>
        <v>48</v>
      </c>
      <c r="B50" s="143">
        <v>156</v>
      </c>
      <c r="C50" s="140" t="s">
        <v>457</v>
      </c>
      <c r="D50" s="159" t="s">
        <v>458</v>
      </c>
      <c r="E50" s="141" t="s">
        <v>459</v>
      </c>
      <c r="F50" s="142" t="s">
        <v>460</v>
      </c>
      <c r="G50" s="144" t="s">
        <v>461</v>
      </c>
    </row>
    <row r="51" spans="1:7" ht="14.5">
      <c r="A51" s="155">
        <f t="shared" si="0"/>
        <v>49</v>
      </c>
      <c r="B51" s="143">
        <v>170</v>
      </c>
      <c r="C51" s="140" t="s">
        <v>462</v>
      </c>
      <c r="D51" s="159" t="s">
        <v>463</v>
      </c>
      <c r="E51" s="141" t="s">
        <v>464</v>
      </c>
      <c r="F51" s="142" t="s">
        <v>465</v>
      </c>
      <c r="G51" s="144" t="s">
        <v>300</v>
      </c>
    </row>
    <row r="52" spans="1:7" ht="14.5">
      <c r="A52" s="155">
        <f t="shared" si="0"/>
        <v>50</v>
      </c>
      <c r="B52" s="143">
        <v>188</v>
      </c>
      <c r="C52" s="140" t="s">
        <v>466</v>
      </c>
      <c r="D52" s="159" t="s">
        <v>467</v>
      </c>
      <c r="E52" s="141" t="s">
        <v>468</v>
      </c>
      <c r="F52" s="142" t="s">
        <v>469</v>
      </c>
      <c r="G52" s="144" t="s">
        <v>273</v>
      </c>
    </row>
    <row r="53" spans="1:7" ht="14.5">
      <c r="A53" s="155">
        <f t="shared" si="0"/>
        <v>51</v>
      </c>
      <c r="B53" s="143">
        <v>192</v>
      </c>
      <c r="C53" s="140" t="s">
        <v>470</v>
      </c>
      <c r="D53" s="159" t="s">
        <v>471</v>
      </c>
      <c r="E53" s="141" t="s">
        <v>472</v>
      </c>
      <c r="F53" s="142" t="s">
        <v>473</v>
      </c>
      <c r="G53" s="144" t="s">
        <v>273</v>
      </c>
    </row>
    <row r="54" spans="1:7" ht="14.5">
      <c r="A54" s="155">
        <f t="shared" si="0"/>
        <v>52</v>
      </c>
      <c r="B54" s="143">
        <v>132</v>
      </c>
      <c r="C54" s="140" t="s">
        <v>474</v>
      </c>
      <c r="D54" s="159" t="s">
        <v>475</v>
      </c>
      <c r="E54" s="141" t="s">
        <v>476</v>
      </c>
      <c r="F54" s="142" t="s">
        <v>477</v>
      </c>
      <c r="G54" s="144" t="s">
        <v>348</v>
      </c>
    </row>
    <row r="55" spans="1:7" ht="14.5">
      <c r="A55" s="155">
        <f t="shared" si="0"/>
        <v>53</v>
      </c>
      <c r="B55" s="143">
        <v>531</v>
      </c>
      <c r="C55" s="140" t="s">
        <v>478</v>
      </c>
      <c r="D55" s="159" t="s">
        <v>479</v>
      </c>
      <c r="E55" s="141" t="s">
        <v>480</v>
      </c>
      <c r="F55" s="142" t="s">
        <v>481</v>
      </c>
      <c r="G55" s="144" t="s">
        <v>273</v>
      </c>
    </row>
    <row r="56" spans="1:7" ht="14.5">
      <c r="A56" s="155">
        <f t="shared" si="0"/>
        <v>54</v>
      </c>
      <c r="B56" s="143">
        <v>162</v>
      </c>
      <c r="C56" s="140" t="s">
        <v>482</v>
      </c>
      <c r="D56" s="159" t="s">
        <v>483</v>
      </c>
      <c r="E56" s="141" t="s">
        <v>484</v>
      </c>
      <c r="F56" s="142" t="s">
        <v>485</v>
      </c>
      <c r="G56" s="144" t="s">
        <v>305</v>
      </c>
    </row>
    <row r="57" spans="1:7" ht="14.5">
      <c r="A57" s="155">
        <f t="shared" si="0"/>
        <v>55</v>
      </c>
      <c r="B57" s="143">
        <v>196</v>
      </c>
      <c r="C57" s="140" t="s">
        <v>486</v>
      </c>
      <c r="D57" s="159" t="s">
        <v>487</v>
      </c>
      <c r="E57" s="141" t="s">
        <v>488</v>
      </c>
      <c r="F57" s="142" t="s">
        <v>489</v>
      </c>
      <c r="G57" s="144" t="s">
        <v>490</v>
      </c>
    </row>
    <row r="58" spans="1:7" ht="14.5">
      <c r="A58" s="155">
        <f t="shared" si="0"/>
        <v>56</v>
      </c>
      <c r="B58" s="143">
        <v>203</v>
      </c>
      <c r="C58" s="140" t="s">
        <v>491</v>
      </c>
      <c r="D58" s="159" t="s">
        <v>492</v>
      </c>
      <c r="E58" s="141" t="s">
        <v>493</v>
      </c>
      <c r="F58" s="142" t="s">
        <v>494</v>
      </c>
      <c r="G58" s="144" t="s">
        <v>282</v>
      </c>
    </row>
    <row r="59" spans="1:7" ht="14.5">
      <c r="A59" s="155">
        <f t="shared" si="0"/>
        <v>57</v>
      </c>
      <c r="B59" s="143">
        <v>276</v>
      </c>
      <c r="C59" s="140" t="s">
        <v>495</v>
      </c>
      <c r="D59" s="159" t="s">
        <v>496</v>
      </c>
      <c r="E59" s="141" t="s">
        <v>497</v>
      </c>
      <c r="F59" s="142" t="s">
        <v>498</v>
      </c>
      <c r="G59" s="144" t="s">
        <v>259</v>
      </c>
    </row>
    <row r="60" spans="1:7" ht="14.5">
      <c r="A60" s="155">
        <f t="shared" si="0"/>
        <v>58</v>
      </c>
      <c r="B60" s="143">
        <v>262</v>
      </c>
      <c r="C60" s="140" t="s">
        <v>499</v>
      </c>
      <c r="D60" s="159" t="s">
        <v>500</v>
      </c>
      <c r="E60" s="141" t="s">
        <v>501</v>
      </c>
      <c r="F60" s="142" t="s">
        <v>502</v>
      </c>
      <c r="G60" s="144" t="s">
        <v>503</v>
      </c>
    </row>
    <row r="61" spans="1:7" ht="14.5">
      <c r="A61" s="155">
        <f t="shared" si="0"/>
        <v>59</v>
      </c>
      <c r="B61" s="143">
        <v>208</v>
      </c>
      <c r="C61" s="140" t="s">
        <v>504</v>
      </c>
      <c r="D61" s="159" t="s">
        <v>505</v>
      </c>
      <c r="E61" s="141" t="s">
        <v>506</v>
      </c>
      <c r="F61" s="142" t="s">
        <v>507</v>
      </c>
      <c r="G61" s="144" t="s">
        <v>322</v>
      </c>
    </row>
    <row r="62" spans="1:7" ht="14.5">
      <c r="A62" s="155">
        <f t="shared" si="0"/>
        <v>60</v>
      </c>
      <c r="B62" s="143">
        <v>212</v>
      </c>
      <c r="C62" s="140" t="s">
        <v>508</v>
      </c>
      <c r="D62" s="159" t="s">
        <v>509</v>
      </c>
      <c r="E62" s="141" t="s">
        <v>510</v>
      </c>
      <c r="F62" s="142" t="s">
        <v>511</v>
      </c>
      <c r="G62" s="144" t="s">
        <v>273</v>
      </c>
    </row>
    <row r="63" spans="1:7" ht="14.5">
      <c r="A63" s="155">
        <f t="shared" si="0"/>
        <v>61</v>
      </c>
      <c r="B63" s="143">
        <v>214</v>
      </c>
      <c r="C63" s="140" t="s">
        <v>512</v>
      </c>
      <c r="D63" s="159" t="s">
        <v>513</v>
      </c>
      <c r="E63" s="141" t="s">
        <v>514</v>
      </c>
      <c r="F63" s="142" t="s">
        <v>515</v>
      </c>
      <c r="G63" s="144" t="s">
        <v>273</v>
      </c>
    </row>
    <row r="64" spans="1:7" ht="14.5">
      <c r="A64" s="155">
        <f t="shared" si="0"/>
        <v>62</v>
      </c>
      <c r="B64" s="143">
        <v>12</v>
      </c>
      <c r="C64" s="140" t="s">
        <v>516</v>
      </c>
      <c r="D64" s="159" t="s">
        <v>517</v>
      </c>
      <c r="E64" s="141" t="s">
        <v>518</v>
      </c>
      <c r="F64" s="142" t="s">
        <v>519</v>
      </c>
      <c r="G64" s="144" t="s">
        <v>520</v>
      </c>
    </row>
    <row r="65" spans="1:7" ht="14.5">
      <c r="A65" s="155">
        <f t="shared" si="0"/>
        <v>63</v>
      </c>
      <c r="B65" s="143">
        <v>218</v>
      </c>
      <c r="C65" s="140" t="s">
        <v>521</v>
      </c>
      <c r="D65" s="159" t="s">
        <v>522</v>
      </c>
      <c r="E65" s="141" t="s">
        <v>523</v>
      </c>
      <c r="F65" s="142" t="s">
        <v>524</v>
      </c>
      <c r="G65" s="144" t="s">
        <v>300</v>
      </c>
    </row>
    <row r="66" spans="1:7" ht="14.5">
      <c r="A66" s="155">
        <f t="shared" si="0"/>
        <v>64</v>
      </c>
      <c r="B66" s="143">
        <v>233</v>
      </c>
      <c r="C66" s="140" t="s">
        <v>525</v>
      </c>
      <c r="D66" s="159" t="s">
        <v>526</v>
      </c>
      <c r="E66" s="141" t="s">
        <v>527</v>
      </c>
      <c r="F66" s="142" t="s">
        <v>528</v>
      </c>
      <c r="G66" s="144" t="s">
        <v>282</v>
      </c>
    </row>
    <row r="67" spans="1:7" ht="14.5">
      <c r="A67" s="155">
        <f t="shared" si="0"/>
        <v>65</v>
      </c>
      <c r="B67" s="143">
        <v>818</v>
      </c>
      <c r="C67" s="140" t="s">
        <v>529</v>
      </c>
      <c r="D67" s="159" t="s">
        <v>530</v>
      </c>
      <c r="E67" s="141" t="s">
        <v>531</v>
      </c>
      <c r="F67" s="142" t="s">
        <v>532</v>
      </c>
      <c r="G67" s="144" t="s">
        <v>520</v>
      </c>
    </row>
    <row r="68" spans="1:7" ht="14.5">
      <c r="A68" s="155">
        <f t="shared" ref="A68:A131" si="1">ROW()-2</f>
        <v>66</v>
      </c>
      <c r="B68" s="143">
        <v>732</v>
      </c>
      <c r="C68" s="140" t="s">
        <v>533</v>
      </c>
      <c r="D68" s="159" t="s">
        <v>534</v>
      </c>
      <c r="E68" s="141" t="s">
        <v>535</v>
      </c>
      <c r="F68" s="142" t="s">
        <v>536</v>
      </c>
      <c r="G68" s="144" t="s">
        <v>348</v>
      </c>
    </row>
    <row r="69" spans="1:7" ht="14.5">
      <c r="A69" s="155">
        <f t="shared" si="1"/>
        <v>67</v>
      </c>
      <c r="B69" s="143">
        <v>232</v>
      </c>
      <c r="C69" s="140" t="s">
        <v>537</v>
      </c>
      <c r="D69" s="159" t="s">
        <v>538</v>
      </c>
      <c r="E69" s="141" t="s">
        <v>539</v>
      </c>
      <c r="F69" s="142" t="s">
        <v>540</v>
      </c>
      <c r="G69" s="144" t="s">
        <v>503</v>
      </c>
    </row>
    <row r="70" spans="1:7" ht="14.5">
      <c r="A70" s="155">
        <f t="shared" si="1"/>
        <v>68</v>
      </c>
      <c r="B70" s="143">
        <v>724</v>
      </c>
      <c r="C70" s="140" t="s">
        <v>541</v>
      </c>
      <c r="D70" s="159" t="s">
        <v>542</v>
      </c>
      <c r="E70" s="141" t="s">
        <v>543</v>
      </c>
      <c r="F70" s="142" t="s">
        <v>544</v>
      </c>
      <c r="G70" s="144" t="s">
        <v>259</v>
      </c>
    </row>
    <row r="71" spans="1:7" ht="14.5">
      <c r="A71" s="155">
        <f t="shared" si="1"/>
        <v>69</v>
      </c>
      <c r="B71" s="143">
        <v>231</v>
      </c>
      <c r="C71" s="140" t="s">
        <v>545</v>
      </c>
      <c r="D71" s="159" t="s">
        <v>546</v>
      </c>
      <c r="E71" s="141" t="s">
        <v>547</v>
      </c>
      <c r="F71" s="142" t="s">
        <v>548</v>
      </c>
      <c r="G71" s="144" t="s">
        <v>503</v>
      </c>
    </row>
    <row r="72" spans="1:7" ht="14.5">
      <c r="A72" s="155">
        <f t="shared" si="1"/>
        <v>70</v>
      </c>
      <c r="B72" s="143">
        <v>246</v>
      </c>
      <c r="C72" s="140" t="s">
        <v>549</v>
      </c>
      <c r="D72" s="159" t="s">
        <v>550</v>
      </c>
      <c r="E72" s="141" t="s">
        <v>551</v>
      </c>
      <c r="F72" s="142" t="s">
        <v>552</v>
      </c>
      <c r="G72" s="144" t="s">
        <v>322</v>
      </c>
    </row>
    <row r="73" spans="1:7" ht="14.5">
      <c r="A73" s="155">
        <f t="shared" si="1"/>
        <v>71</v>
      </c>
      <c r="B73" s="143">
        <v>242</v>
      </c>
      <c r="C73" s="140" t="s">
        <v>553</v>
      </c>
      <c r="D73" s="159" t="s">
        <v>554</v>
      </c>
      <c r="E73" s="141" t="s">
        <v>555</v>
      </c>
      <c r="F73" s="142" t="s">
        <v>556</v>
      </c>
      <c r="G73" s="144" t="s">
        <v>305</v>
      </c>
    </row>
    <row r="74" spans="1:7" ht="26">
      <c r="A74" s="155">
        <f t="shared" si="1"/>
        <v>72</v>
      </c>
      <c r="B74" s="143">
        <v>238</v>
      </c>
      <c r="C74" s="140" t="s">
        <v>557</v>
      </c>
      <c r="D74" s="159" t="s">
        <v>558</v>
      </c>
      <c r="E74" s="141" t="s">
        <v>559</v>
      </c>
      <c r="F74" s="142" t="s">
        <v>560</v>
      </c>
      <c r="G74" s="144" t="s">
        <v>300</v>
      </c>
    </row>
    <row r="75" spans="1:7" ht="29">
      <c r="A75" s="155">
        <f t="shared" si="1"/>
        <v>73</v>
      </c>
      <c r="B75" s="143">
        <v>583</v>
      </c>
      <c r="C75" s="140" t="s">
        <v>561</v>
      </c>
      <c r="D75" s="159" t="s">
        <v>562</v>
      </c>
      <c r="E75" s="141" t="s">
        <v>563</v>
      </c>
      <c r="F75" s="142" t="s">
        <v>564</v>
      </c>
      <c r="G75" s="144" t="s">
        <v>305</v>
      </c>
    </row>
    <row r="76" spans="1:7" ht="14.5">
      <c r="A76" s="155">
        <f t="shared" si="1"/>
        <v>74</v>
      </c>
      <c r="B76" s="143">
        <v>234</v>
      </c>
      <c r="C76" s="140" t="s">
        <v>565</v>
      </c>
      <c r="D76" s="159" t="s">
        <v>566</v>
      </c>
      <c r="E76" s="141" t="s">
        <v>567</v>
      </c>
      <c r="F76" s="142" t="s">
        <v>568</v>
      </c>
      <c r="G76" s="144" t="s">
        <v>322</v>
      </c>
    </row>
    <row r="77" spans="1:7" ht="14.5">
      <c r="A77" s="155">
        <f t="shared" si="1"/>
        <v>75</v>
      </c>
      <c r="B77" s="143">
        <v>250</v>
      </c>
      <c r="C77" s="140" t="s">
        <v>569</v>
      </c>
      <c r="D77" s="159" t="s">
        <v>570</v>
      </c>
      <c r="E77" s="141" t="s">
        <v>571</v>
      </c>
      <c r="F77" s="142" t="s">
        <v>572</v>
      </c>
      <c r="G77" s="144" t="s">
        <v>259</v>
      </c>
    </row>
    <row r="78" spans="1:7" ht="14.5">
      <c r="A78" s="155">
        <f t="shared" si="1"/>
        <v>76</v>
      </c>
      <c r="B78" s="143">
        <v>266</v>
      </c>
      <c r="C78" s="140" t="s">
        <v>573</v>
      </c>
      <c r="D78" s="159" t="s">
        <v>574</v>
      </c>
      <c r="E78" s="141" t="s">
        <v>575</v>
      </c>
      <c r="F78" s="142" t="s">
        <v>576</v>
      </c>
      <c r="G78" s="144" t="s">
        <v>361</v>
      </c>
    </row>
    <row r="79" spans="1:7" ht="14.5">
      <c r="A79" s="155">
        <f t="shared" si="1"/>
        <v>77</v>
      </c>
      <c r="B79" s="143">
        <v>826</v>
      </c>
      <c r="C79" s="140" t="s">
        <v>577</v>
      </c>
      <c r="D79" s="159" t="s">
        <v>578</v>
      </c>
      <c r="E79" s="141" t="s">
        <v>579</v>
      </c>
      <c r="F79" s="142" t="s">
        <v>580</v>
      </c>
      <c r="G79" s="144" t="s">
        <v>259</v>
      </c>
    </row>
    <row r="80" spans="1:7" ht="14.5">
      <c r="A80" s="155">
        <f t="shared" si="1"/>
        <v>78</v>
      </c>
      <c r="B80" s="143">
        <v>308</v>
      </c>
      <c r="C80" s="140" t="s">
        <v>581</v>
      </c>
      <c r="D80" s="159" t="s">
        <v>582</v>
      </c>
      <c r="E80" s="141" t="s">
        <v>583</v>
      </c>
      <c r="F80" s="142" t="s">
        <v>584</v>
      </c>
      <c r="G80" s="144" t="s">
        <v>273</v>
      </c>
    </row>
    <row r="81" spans="1:7" ht="14.5">
      <c r="A81" s="155">
        <f t="shared" si="1"/>
        <v>79</v>
      </c>
      <c r="B81" s="143">
        <v>268</v>
      </c>
      <c r="C81" s="140" t="s">
        <v>585</v>
      </c>
      <c r="D81" s="159" t="s">
        <v>586</v>
      </c>
      <c r="E81" s="141" t="s">
        <v>587</v>
      </c>
      <c r="F81" s="142" t="s">
        <v>588</v>
      </c>
      <c r="G81" s="144" t="s">
        <v>282</v>
      </c>
    </row>
    <row r="82" spans="1:7" ht="14.5">
      <c r="A82" s="155">
        <f t="shared" si="1"/>
        <v>80</v>
      </c>
      <c r="B82" s="143">
        <v>254</v>
      </c>
      <c r="C82" s="140" t="s">
        <v>589</v>
      </c>
      <c r="D82" s="159" t="s">
        <v>590</v>
      </c>
      <c r="E82" s="141" t="s">
        <v>591</v>
      </c>
      <c r="F82" s="142" t="s">
        <v>592</v>
      </c>
      <c r="G82" s="144" t="s">
        <v>300</v>
      </c>
    </row>
    <row r="83" spans="1:7" ht="14.5">
      <c r="A83" s="155">
        <f t="shared" si="1"/>
        <v>81</v>
      </c>
      <c r="B83" s="143">
        <v>831</v>
      </c>
      <c r="C83" s="140" t="s">
        <v>593</v>
      </c>
      <c r="D83" s="159" t="s">
        <v>594</v>
      </c>
      <c r="E83" s="141" t="s">
        <v>595</v>
      </c>
      <c r="F83" s="142" t="s">
        <v>596</v>
      </c>
      <c r="G83" s="144" t="s">
        <v>259</v>
      </c>
    </row>
    <row r="84" spans="1:7" ht="14.5">
      <c r="A84" s="155">
        <f t="shared" si="1"/>
        <v>82</v>
      </c>
      <c r="B84" s="143">
        <v>288</v>
      </c>
      <c r="C84" s="140" t="s">
        <v>597</v>
      </c>
      <c r="D84" s="159" t="s">
        <v>598</v>
      </c>
      <c r="E84" s="141" t="s">
        <v>599</v>
      </c>
      <c r="F84" s="142" t="s">
        <v>600</v>
      </c>
      <c r="G84" s="144" t="s">
        <v>348</v>
      </c>
    </row>
    <row r="85" spans="1:7" ht="14.5">
      <c r="A85" s="155">
        <f t="shared" si="1"/>
        <v>83</v>
      </c>
      <c r="B85" s="143">
        <v>292</v>
      </c>
      <c r="C85" s="140" t="s">
        <v>601</v>
      </c>
      <c r="D85" s="159" t="s">
        <v>602</v>
      </c>
      <c r="E85" s="141" t="s">
        <v>603</v>
      </c>
      <c r="F85" s="142" t="s">
        <v>604</v>
      </c>
      <c r="G85" s="144" t="s">
        <v>259</v>
      </c>
    </row>
    <row r="86" spans="1:7" ht="14.5">
      <c r="A86" s="155">
        <f t="shared" si="1"/>
        <v>84</v>
      </c>
      <c r="B86" s="143">
        <v>304</v>
      </c>
      <c r="C86" s="140" t="s">
        <v>605</v>
      </c>
      <c r="D86" s="159" t="s">
        <v>606</v>
      </c>
      <c r="E86" s="141" t="s">
        <v>607</v>
      </c>
      <c r="F86" s="142" t="s">
        <v>608</v>
      </c>
      <c r="G86" s="144" t="s">
        <v>322</v>
      </c>
    </row>
    <row r="87" spans="1:7" ht="14.5">
      <c r="A87" s="155">
        <f t="shared" si="1"/>
        <v>85</v>
      </c>
      <c r="B87" s="143">
        <v>270</v>
      </c>
      <c r="C87" s="140" t="s">
        <v>609</v>
      </c>
      <c r="D87" s="159" t="s">
        <v>610</v>
      </c>
      <c r="E87" s="141" t="s">
        <v>611</v>
      </c>
      <c r="F87" s="142" t="s">
        <v>612</v>
      </c>
      <c r="G87" s="144" t="s">
        <v>348</v>
      </c>
    </row>
    <row r="88" spans="1:7" ht="14.5">
      <c r="A88" s="155">
        <f t="shared" si="1"/>
        <v>86</v>
      </c>
      <c r="B88" s="143">
        <v>324</v>
      </c>
      <c r="C88" s="140" t="s">
        <v>613</v>
      </c>
      <c r="D88" s="159" t="s">
        <v>614</v>
      </c>
      <c r="E88" s="141" t="s">
        <v>615</v>
      </c>
      <c r="F88" s="142" t="s">
        <v>616</v>
      </c>
      <c r="G88" s="144" t="s">
        <v>348</v>
      </c>
    </row>
    <row r="89" spans="1:7" ht="14.5">
      <c r="A89" s="155">
        <f t="shared" si="1"/>
        <v>87</v>
      </c>
      <c r="B89" s="143">
        <v>312</v>
      </c>
      <c r="C89" s="140" t="s">
        <v>617</v>
      </c>
      <c r="D89" s="159" t="s">
        <v>618</v>
      </c>
      <c r="E89" s="141" t="s">
        <v>619</v>
      </c>
      <c r="F89" s="142" t="s">
        <v>620</v>
      </c>
      <c r="G89" s="144" t="s">
        <v>273</v>
      </c>
    </row>
    <row r="90" spans="1:7" ht="14.5">
      <c r="A90" s="155">
        <f t="shared" si="1"/>
        <v>88</v>
      </c>
      <c r="B90" s="143">
        <v>226</v>
      </c>
      <c r="C90" s="140" t="s">
        <v>621</v>
      </c>
      <c r="D90" s="159" t="s">
        <v>622</v>
      </c>
      <c r="E90" s="141" t="s">
        <v>623</v>
      </c>
      <c r="F90" s="142" t="s">
        <v>624</v>
      </c>
      <c r="G90" s="144" t="s">
        <v>361</v>
      </c>
    </row>
    <row r="91" spans="1:7" ht="14.5">
      <c r="A91" s="155">
        <f t="shared" si="1"/>
        <v>89</v>
      </c>
      <c r="B91" s="143">
        <v>300</v>
      </c>
      <c r="C91" s="140" t="s">
        <v>625</v>
      </c>
      <c r="D91" s="159" t="s">
        <v>626</v>
      </c>
      <c r="E91" s="141" t="s">
        <v>627</v>
      </c>
      <c r="F91" s="142" t="s">
        <v>628</v>
      </c>
      <c r="G91" s="144" t="s">
        <v>259</v>
      </c>
    </row>
    <row r="92" spans="1:7" ht="44" customHeight="1">
      <c r="A92" s="155">
        <f t="shared" si="1"/>
        <v>90</v>
      </c>
      <c r="B92" s="150">
        <v>239</v>
      </c>
      <c r="C92" s="151" t="s">
        <v>629</v>
      </c>
      <c r="D92" s="160" t="s">
        <v>630</v>
      </c>
      <c r="E92" s="141" t="s">
        <v>631</v>
      </c>
      <c r="F92" s="152" t="s">
        <v>633</v>
      </c>
      <c r="G92" s="153" t="s">
        <v>300</v>
      </c>
    </row>
    <row r="93" spans="1:7">
      <c r="A93" s="155">
        <f t="shared" si="1"/>
        <v>91</v>
      </c>
      <c r="B93" s="150"/>
      <c r="C93" s="151"/>
      <c r="D93" s="160"/>
      <c r="E93" s="141" t="s">
        <v>632</v>
      </c>
      <c r="F93" s="152"/>
      <c r="G93" s="153"/>
    </row>
    <row r="94" spans="1:7" ht="14.5">
      <c r="A94" s="155">
        <f t="shared" si="1"/>
        <v>92</v>
      </c>
      <c r="B94" s="143">
        <v>320</v>
      </c>
      <c r="C94" s="140" t="s">
        <v>634</v>
      </c>
      <c r="D94" s="159" t="s">
        <v>635</v>
      </c>
      <c r="E94" s="141" t="s">
        <v>636</v>
      </c>
      <c r="F94" s="142" t="s">
        <v>637</v>
      </c>
      <c r="G94" s="144" t="s">
        <v>273</v>
      </c>
    </row>
    <row r="95" spans="1:7" ht="14.5">
      <c r="A95" s="155">
        <f t="shared" si="1"/>
        <v>93</v>
      </c>
      <c r="B95" s="143">
        <v>316</v>
      </c>
      <c r="C95" s="140" t="s">
        <v>638</v>
      </c>
      <c r="D95" s="159" t="s">
        <v>639</v>
      </c>
      <c r="E95" s="141" t="s">
        <v>640</v>
      </c>
      <c r="F95" s="142" t="s">
        <v>641</v>
      </c>
      <c r="G95" s="144" t="s">
        <v>305</v>
      </c>
    </row>
    <row r="96" spans="1:7" ht="14.5">
      <c r="A96" s="155">
        <f t="shared" si="1"/>
        <v>94</v>
      </c>
      <c r="B96" s="143">
        <v>624</v>
      </c>
      <c r="C96" s="140" t="s">
        <v>642</v>
      </c>
      <c r="D96" s="159" t="s">
        <v>643</v>
      </c>
      <c r="E96" s="141" t="s">
        <v>644</v>
      </c>
      <c r="F96" s="142" t="s">
        <v>645</v>
      </c>
      <c r="G96" s="144" t="s">
        <v>348</v>
      </c>
    </row>
    <row r="97" spans="1:7" ht="14.5">
      <c r="A97" s="155">
        <f t="shared" si="1"/>
        <v>95</v>
      </c>
      <c r="B97" s="143">
        <v>328</v>
      </c>
      <c r="C97" s="140" t="s">
        <v>646</v>
      </c>
      <c r="D97" s="159" t="s">
        <v>647</v>
      </c>
      <c r="E97" s="141" t="s">
        <v>648</v>
      </c>
      <c r="F97" s="142" t="s">
        <v>649</v>
      </c>
      <c r="G97" s="144" t="s">
        <v>300</v>
      </c>
    </row>
    <row r="98" spans="1:7" ht="14.5">
      <c r="A98" s="155">
        <f t="shared" si="1"/>
        <v>96</v>
      </c>
      <c r="B98" s="143">
        <v>344</v>
      </c>
      <c r="C98" s="140" t="s">
        <v>650</v>
      </c>
      <c r="D98" s="159" t="s">
        <v>651</v>
      </c>
      <c r="E98" s="141" t="s">
        <v>652</v>
      </c>
      <c r="F98" s="142" t="s">
        <v>653</v>
      </c>
      <c r="G98" s="144" t="s">
        <v>461</v>
      </c>
    </row>
    <row r="99" spans="1:7" ht="29">
      <c r="A99" s="155">
        <f t="shared" si="1"/>
        <v>97</v>
      </c>
      <c r="B99" s="143">
        <v>334</v>
      </c>
      <c r="C99" s="140" t="s">
        <v>654</v>
      </c>
      <c r="D99" s="159" t="s">
        <v>655</v>
      </c>
      <c r="E99" s="141" t="s">
        <v>656</v>
      </c>
      <c r="F99" s="142" t="s">
        <v>657</v>
      </c>
      <c r="G99" s="144" t="s">
        <v>424</v>
      </c>
    </row>
    <row r="100" spans="1:7" ht="14.5">
      <c r="A100" s="155">
        <f t="shared" si="1"/>
        <v>98</v>
      </c>
      <c r="B100" s="143">
        <v>340</v>
      </c>
      <c r="C100" s="140" t="s">
        <v>658</v>
      </c>
      <c r="D100" s="159" t="s">
        <v>659</v>
      </c>
      <c r="E100" s="141" t="s">
        <v>660</v>
      </c>
      <c r="F100" s="142" t="s">
        <v>661</v>
      </c>
      <c r="G100" s="144" t="s">
        <v>273</v>
      </c>
    </row>
    <row r="101" spans="1:7" ht="14.5">
      <c r="A101" s="155">
        <f t="shared" si="1"/>
        <v>99</v>
      </c>
      <c r="B101" s="143">
        <v>191</v>
      </c>
      <c r="C101" s="140" t="s">
        <v>662</v>
      </c>
      <c r="D101" s="159" t="s">
        <v>663</v>
      </c>
      <c r="E101" s="141" t="s">
        <v>664</v>
      </c>
      <c r="F101" s="142" t="s">
        <v>665</v>
      </c>
      <c r="G101" s="144" t="s">
        <v>282</v>
      </c>
    </row>
    <row r="102" spans="1:7" ht="14.5">
      <c r="A102" s="155">
        <f t="shared" si="1"/>
        <v>100</v>
      </c>
      <c r="B102" s="143">
        <v>332</v>
      </c>
      <c r="C102" s="140" t="s">
        <v>666</v>
      </c>
      <c r="D102" s="159" t="s">
        <v>667</v>
      </c>
      <c r="E102" s="141" t="s">
        <v>668</v>
      </c>
      <c r="F102" s="142" t="s">
        <v>669</v>
      </c>
      <c r="G102" s="144" t="s">
        <v>273</v>
      </c>
    </row>
    <row r="103" spans="1:7" ht="14.5">
      <c r="A103" s="155">
        <f t="shared" si="1"/>
        <v>101</v>
      </c>
      <c r="B103" s="143">
        <v>348</v>
      </c>
      <c r="C103" s="140" t="s">
        <v>670</v>
      </c>
      <c r="D103" s="159" t="s">
        <v>671</v>
      </c>
      <c r="E103" s="141" t="s">
        <v>672</v>
      </c>
      <c r="F103" s="142" t="s">
        <v>673</v>
      </c>
      <c r="G103" s="144" t="s">
        <v>282</v>
      </c>
    </row>
    <row r="104" spans="1:7" ht="14.5">
      <c r="A104" s="155">
        <f t="shared" si="1"/>
        <v>102</v>
      </c>
      <c r="B104" s="143">
        <v>360</v>
      </c>
      <c r="C104" s="140" t="s">
        <v>674</v>
      </c>
      <c r="D104" s="159" t="s">
        <v>675</v>
      </c>
      <c r="E104" s="141" t="s">
        <v>676</v>
      </c>
      <c r="F104" s="142" t="s">
        <v>677</v>
      </c>
      <c r="G104" s="144" t="s">
        <v>378</v>
      </c>
    </row>
    <row r="105" spans="1:7" ht="14.5">
      <c r="A105" s="155">
        <f t="shared" si="1"/>
        <v>103</v>
      </c>
      <c r="B105" s="143">
        <v>372</v>
      </c>
      <c r="C105" s="140" t="s">
        <v>678</v>
      </c>
      <c r="D105" s="159" t="s">
        <v>679</v>
      </c>
      <c r="E105" s="141" t="s">
        <v>680</v>
      </c>
      <c r="F105" s="142" t="s">
        <v>681</v>
      </c>
      <c r="G105" s="144" t="s">
        <v>259</v>
      </c>
    </row>
    <row r="106" spans="1:7" ht="14.5">
      <c r="A106" s="155">
        <f t="shared" si="1"/>
        <v>104</v>
      </c>
      <c r="B106" s="143">
        <v>376</v>
      </c>
      <c r="C106" s="140" t="s">
        <v>682</v>
      </c>
      <c r="D106" s="159" t="s">
        <v>683</v>
      </c>
      <c r="E106" s="141" t="s">
        <v>684</v>
      </c>
      <c r="F106" s="142" t="s">
        <v>685</v>
      </c>
      <c r="G106" s="144" t="s">
        <v>264</v>
      </c>
    </row>
    <row r="107" spans="1:7" ht="14.5">
      <c r="A107" s="155">
        <f t="shared" si="1"/>
        <v>105</v>
      </c>
      <c r="B107" s="143">
        <v>833</v>
      </c>
      <c r="C107" s="140" t="s">
        <v>686</v>
      </c>
      <c r="D107" s="159" t="s">
        <v>687</v>
      </c>
      <c r="E107" s="141" t="s">
        <v>688</v>
      </c>
      <c r="F107" s="142" t="s">
        <v>689</v>
      </c>
      <c r="G107" s="144" t="s">
        <v>259</v>
      </c>
    </row>
    <row r="108" spans="1:7" ht="14.5">
      <c r="A108" s="155">
        <f t="shared" si="1"/>
        <v>106</v>
      </c>
      <c r="B108" s="143">
        <v>356</v>
      </c>
      <c r="C108" s="140" t="s">
        <v>690</v>
      </c>
      <c r="D108" s="159" t="s">
        <v>691</v>
      </c>
      <c r="E108" s="141" t="s">
        <v>692</v>
      </c>
      <c r="F108" s="142" t="s">
        <v>693</v>
      </c>
      <c r="G108" s="144" t="s">
        <v>339</v>
      </c>
    </row>
    <row r="109" spans="1:7" ht="29">
      <c r="A109" s="155">
        <f t="shared" si="1"/>
        <v>107</v>
      </c>
      <c r="B109" s="143">
        <v>86</v>
      </c>
      <c r="C109" s="140" t="s">
        <v>694</v>
      </c>
      <c r="D109" s="159" t="s">
        <v>695</v>
      </c>
      <c r="E109" s="141" t="s">
        <v>696</v>
      </c>
      <c r="F109" s="142" t="s">
        <v>697</v>
      </c>
      <c r="G109" s="144" t="s">
        <v>424</v>
      </c>
    </row>
    <row r="110" spans="1:7" ht="14.5">
      <c r="A110" s="155">
        <f t="shared" si="1"/>
        <v>108</v>
      </c>
      <c r="B110" s="143">
        <v>368</v>
      </c>
      <c r="C110" s="140" t="s">
        <v>698</v>
      </c>
      <c r="D110" s="159" t="s">
        <v>699</v>
      </c>
      <c r="E110" s="141" t="s">
        <v>700</v>
      </c>
      <c r="F110" s="142" t="s">
        <v>701</v>
      </c>
      <c r="G110" s="144" t="s">
        <v>264</v>
      </c>
    </row>
    <row r="111" spans="1:7" ht="29">
      <c r="A111" s="155">
        <f t="shared" si="1"/>
        <v>109</v>
      </c>
      <c r="B111" s="143">
        <v>364</v>
      </c>
      <c r="C111" s="140" t="s">
        <v>702</v>
      </c>
      <c r="D111" s="159" t="s">
        <v>703</v>
      </c>
      <c r="E111" s="141" t="s">
        <v>704</v>
      </c>
      <c r="F111" s="142" t="s">
        <v>705</v>
      </c>
      <c r="G111" s="144" t="s">
        <v>264</v>
      </c>
    </row>
    <row r="112" spans="1:7" ht="14.5">
      <c r="A112" s="155">
        <f t="shared" si="1"/>
        <v>110</v>
      </c>
      <c r="B112" s="143">
        <v>352</v>
      </c>
      <c r="C112" s="140" t="s">
        <v>706</v>
      </c>
      <c r="D112" s="159" t="s">
        <v>707</v>
      </c>
      <c r="E112" s="141" t="s">
        <v>708</v>
      </c>
      <c r="F112" s="142" t="s">
        <v>709</v>
      </c>
      <c r="G112" s="144" t="s">
        <v>322</v>
      </c>
    </row>
    <row r="113" spans="1:7" ht="14.5">
      <c r="A113" s="155">
        <f t="shared" si="1"/>
        <v>111</v>
      </c>
      <c r="B113" s="143">
        <v>380</v>
      </c>
      <c r="C113" s="140" t="s">
        <v>710</v>
      </c>
      <c r="D113" s="159" t="s">
        <v>711</v>
      </c>
      <c r="E113" s="141" t="s">
        <v>712</v>
      </c>
      <c r="F113" s="142" t="s">
        <v>713</v>
      </c>
      <c r="G113" s="144" t="s">
        <v>259</v>
      </c>
    </row>
    <row r="114" spans="1:7" ht="14.5">
      <c r="A114" s="155">
        <f t="shared" si="1"/>
        <v>112</v>
      </c>
      <c r="B114" s="143">
        <v>832</v>
      </c>
      <c r="C114" s="140" t="s">
        <v>714</v>
      </c>
      <c r="D114" s="159" t="s">
        <v>715</v>
      </c>
      <c r="E114" s="141" t="s">
        <v>716</v>
      </c>
      <c r="F114" s="142" t="s">
        <v>717</v>
      </c>
      <c r="G114" s="144" t="s">
        <v>259</v>
      </c>
    </row>
    <row r="115" spans="1:7" ht="14.5">
      <c r="A115" s="155">
        <f t="shared" si="1"/>
        <v>113</v>
      </c>
      <c r="B115" s="143">
        <v>388</v>
      </c>
      <c r="C115" s="140" t="s">
        <v>718</v>
      </c>
      <c r="D115" s="159" t="s">
        <v>719</v>
      </c>
      <c r="E115" s="141" t="s">
        <v>720</v>
      </c>
      <c r="F115" s="142" t="s">
        <v>721</v>
      </c>
      <c r="G115" s="144" t="s">
        <v>273</v>
      </c>
    </row>
    <row r="116" spans="1:7" ht="14.5">
      <c r="A116" s="155">
        <f t="shared" si="1"/>
        <v>114</v>
      </c>
      <c r="B116" s="143">
        <v>400</v>
      </c>
      <c r="C116" s="140" t="s">
        <v>722</v>
      </c>
      <c r="D116" s="159" t="s">
        <v>723</v>
      </c>
      <c r="E116" s="141" t="s">
        <v>724</v>
      </c>
      <c r="F116" s="142" t="s">
        <v>725</v>
      </c>
      <c r="G116" s="144" t="s">
        <v>264</v>
      </c>
    </row>
    <row r="117" spans="1:7" ht="14.5">
      <c r="A117" s="155">
        <f t="shared" si="1"/>
        <v>115</v>
      </c>
      <c r="B117" s="143">
        <v>392</v>
      </c>
      <c r="C117" s="140" t="s">
        <v>726</v>
      </c>
      <c r="D117" s="159" t="s">
        <v>727</v>
      </c>
      <c r="E117" s="141" t="s">
        <v>728</v>
      </c>
      <c r="F117" s="142" t="s">
        <v>729</v>
      </c>
      <c r="G117" s="144" t="s">
        <v>461</v>
      </c>
    </row>
    <row r="118" spans="1:7" ht="14.5">
      <c r="A118" s="155">
        <f t="shared" si="1"/>
        <v>116</v>
      </c>
      <c r="B118" s="143">
        <v>404</v>
      </c>
      <c r="C118" s="140" t="s">
        <v>730</v>
      </c>
      <c r="D118" s="159" t="s">
        <v>731</v>
      </c>
      <c r="E118" s="141" t="s">
        <v>732</v>
      </c>
      <c r="F118" s="142" t="s">
        <v>733</v>
      </c>
      <c r="G118" s="144" t="s">
        <v>503</v>
      </c>
    </row>
    <row r="119" spans="1:7" ht="14.5">
      <c r="A119" s="155">
        <f t="shared" si="1"/>
        <v>117</v>
      </c>
      <c r="B119" s="143">
        <v>417</v>
      </c>
      <c r="C119" s="140" t="s">
        <v>734</v>
      </c>
      <c r="D119" s="159" t="s">
        <v>735</v>
      </c>
      <c r="E119" s="141" t="s">
        <v>736</v>
      </c>
      <c r="F119" s="142" t="s">
        <v>737</v>
      </c>
      <c r="G119" s="144" t="s">
        <v>738</v>
      </c>
    </row>
    <row r="120" spans="1:7" ht="14.5">
      <c r="A120" s="155">
        <f t="shared" si="1"/>
        <v>118</v>
      </c>
      <c r="B120" s="143">
        <v>116</v>
      </c>
      <c r="C120" s="140" t="s">
        <v>739</v>
      </c>
      <c r="D120" s="159" t="s">
        <v>740</v>
      </c>
      <c r="E120" s="141" t="s">
        <v>741</v>
      </c>
      <c r="F120" s="142" t="s">
        <v>742</v>
      </c>
      <c r="G120" s="144" t="s">
        <v>378</v>
      </c>
    </row>
    <row r="121" spans="1:7" ht="14.5">
      <c r="A121" s="155">
        <f t="shared" si="1"/>
        <v>119</v>
      </c>
      <c r="B121" s="143">
        <v>296</v>
      </c>
      <c r="C121" s="140" t="s">
        <v>743</v>
      </c>
      <c r="D121" s="159" t="s">
        <v>744</v>
      </c>
      <c r="E121" s="141" t="s">
        <v>745</v>
      </c>
      <c r="F121" s="142" t="s">
        <v>746</v>
      </c>
      <c r="G121" s="144" t="s">
        <v>305</v>
      </c>
    </row>
    <row r="122" spans="1:7" ht="14.5">
      <c r="A122" s="155">
        <f t="shared" si="1"/>
        <v>120</v>
      </c>
      <c r="B122" s="143">
        <v>174</v>
      </c>
      <c r="C122" s="140" t="s">
        <v>747</v>
      </c>
      <c r="D122" s="159" t="s">
        <v>748</v>
      </c>
      <c r="E122" s="141" t="s">
        <v>749</v>
      </c>
      <c r="F122" s="142" t="s">
        <v>750</v>
      </c>
      <c r="G122" s="144" t="s">
        <v>424</v>
      </c>
    </row>
    <row r="123" spans="1:7" ht="26">
      <c r="A123" s="155">
        <f t="shared" si="1"/>
        <v>121</v>
      </c>
      <c r="B123" s="143">
        <v>659</v>
      </c>
      <c r="C123" s="140" t="s">
        <v>751</v>
      </c>
      <c r="D123" s="159" t="s">
        <v>752</v>
      </c>
      <c r="E123" s="141" t="s">
        <v>753</v>
      </c>
      <c r="F123" s="142" t="s">
        <v>754</v>
      </c>
      <c r="G123" s="144" t="s">
        <v>273</v>
      </c>
    </row>
    <row r="124" spans="1:7" ht="29">
      <c r="A124" s="155">
        <f t="shared" si="1"/>
        <v>122</v>
      </c>
      <c r="B124" s="143">
        <v>408</v>
      </c>
      <c r="C124" s="140" t="s">
        <v>755</v>
      </c>
      <c r="D124" s="159" t="s">
        <v>756</v>
      </c>
      <c r="E124" s="141" t="s">
        <v>757</v>
      </c>
      <c r="F124" s="142" t="s">
        <v>758</v>
      </c>
      <c r="G124" s="144" t="s">
        <v>461</v>
      </c>
    </row>
    <row r="125" spans="1:7" ht="14.5">
      <c r="A125" s="155">
        <f t="shared" si="1"/>
        <v>123</v>
      </c>
      <c r="B125" s="143">
        <v>410</v>
      </c>
      <c r="C125" s="140" t="s">
        <v>759</v>
      </c>
      <c r="D125" s="159" t="s">
        <v>760</v>
      </c>
      <c r="E125" s="141" t="s">
        <v>761</v>
      </c>
      <c r="F125" s="142" t="s">
        <v>762</v>
      </c>
      <c r="G125" s="144" t="s">
        <v>461</v>
      </c>
    </row>
    <row r="126" spans="1:7" ht="14.5">
      <c r="A126" s="155">
        <f t="shared" si="1"/>
        <v>124</v>
      </c>
      <c r="B126" s="143">
        <v>414</v>
      </c>
      <c r="C126" s="140" t="s">
        <v>763</v>
      </c>
      <c r="D126" s="159" t="s">
        <v>764</v>
      </c>
      <c r="E126" s="141" t="s">
        <v>765</v>
      </c>
      <c r="F126" s="142" t="s">
        <v>766</v>
      </c>
      <c r="G126" s="144" t="s">
        <v>264</v>
      </c>
    </row>
    <row r="127" spans="1:7" ht="14.5">
      <c r="A127" s="155">
        <f t="shared" si="1"/>
        <v>125</v>
      </c>
      <c r="B127" s="143">
        <v>136</v>
      </c>
      <c r="C127" s="140" t="s">
        <v>767</v>
      </c>
      <c r="D127" s="159" t="s">
        <v>768</v>
      </c>
      <c r="E127" s="141" t="s">
        <v>769</v>
      </c>
      <c r="F127" s="142" t="s">
        <v>770</v>
      </c>
      <c r="G127" s="144" t="s">
        <v>273</v>
      </c>
    </row>
    <row r="128" spans="1:7" ht="14.5">
      <c r="A128" s="155">
        <f t="shared" si="1"/>
        <v>126</v>
      </c>
      <c r="B128" s="143">
        <v>398</v>
      </c>
      <c r="C128" s="140" t="s">
        <v>771</v>
      </c>
      <c r="D128" s="159" t="s">
        <v>772</v>
      </c>
      <c r="E128" s="141" t="s">
        <v>773</v>
      </c>
      <c r="F128" s="142" t="s">
        <v>774</v>
      </c>
      <c r="G128" s="144" t="s">
        <v>738</v>
      </c>
    </row>
    <row r="129" spans="1:7" ht="29">
      <c r="A129" s="155">
        <f t="shared" si="1"/>
        <v>127</v>
      </c>
      <c r="B129" s="143">
        <v>418</v>
      </c>
      <c r="C129" s="140" t="s">
        <v>775</v>
      </c>
      <c r="D129" s="159" t="s">
        <v>776</v>
      </c>
      <c r="E129" s="141" t="s">
        <v>777</v>
      </c>
      <c r="F129" s="142" t="s">
        <v>778</v>
      </c>
      <c r="G129" s="144" t="s">
        <v>378</v>
      </c>
    </row>
    <row r="130" spans="1:7" ht="14.5">
      <c r="A130" s="155">
        <f t="shared" si="1"/>
        <v>128</v>
      </c>
      <c r="B130" s="143">
        <v>422</v>
      </c>
      <c r="C130" s="140" t="s">
        <v>779</v>
      </c>
      <c r="D130" s="159" t="s">
        <v>780</v>
      </c>
      <c r="E130" s="141" t="s">
        <v>781</v>
      </c>
      <c r="F130" s="142" t="s">
        <v>782</v>
      </c>
      <c r="G130" s="144" t="s">
        <v>264</v>
      </c>
    </row>
    <row r="131" spans="1:7" ht="14.5">
      <c r="A131" s="155">
        <f t="shared" si="1"/>
        <v>129</v>
      </c>
      <c r="B131" s="143">
        <v>662</v>
      </c>
      <c r="C131" s="140" t="s">
        <v>783</v>
      </c>
      <c r="D131" s="159" t="s">
        <v>784</v>
      </c>
      <c r="E131" s="141" t="s">
        <v>785</v>
      </c>
      <c r="F131" s="142" t="s">
        <v>786</v>
      </c>
      <c r="G131" s="144" t="s">
        <v>273</v>
      </c>
    </row>
    <row r="132" spans="1:7" ht="14.5">
      <c r="A132" s="155">
        <f t="shared" ref="A132:A195" si="2">ROW()-2</f>
        <v>130</v>
      </c>
      <c r="B132" s="143">
        <v>438</v>
      </c>
      <c r="C132" s="140" t="s">
        <v>787</v>
      </c>
      <c r="D132" s="159" t="s">
        <v>788</v>
      </c>
      <c r="E132" s="141" t="s">
        <v>789</v>
      </c>
      <c r="F132" s="142" t="s">
        <v>790</v>
      </c>
      <c r="G132" s="144" t="s">
        <v>259</v>
      </c>
    </row>
    <row r="133" spans="1:7" ht="14.5">
      <c r="A133" s="155">
        <f t="shared" si="2"/>
        <v>131</v>
      </c>
      <c r="B133" s="143">
        <v>144</v>
      </c>
      <c r="C133" s="140" t="s">
        <v>791</v>
      </c>
      <c r="D133" s="159" t="s">
        <v>792</v>
      </c>
      <c r="E133" s="141" t="s">
        <v>793</v>
      </c>
      <c r="F133" s="142" t="s">
        <v>794</v>
      </c>
      <c r="G133" s="144" t="s">
        <v>339</v>
      </c>
    </row>
    <row r="134" spans="1:7" ht="14.5">
      <c r="A134" s="155">
        <f t="shared" si="2"/>
        <v>132</v>
      </c>
      <c r="B134" s="143">
        <v>430</v>
      </c>
      <c r="C134" s="140" t="s">
        <v>795</v>
      </c>
      <c r="D134" s="159" t="s">
        <v>796</v>
      </c>
      <c r="E134" s="141" t="s">
        <v>797</v>
      </c>
      <c r="F134" s="142" t="s">
        <v>798</v>
      </c>
      <c r="G134" s="144" t="s">
        <v>348</v>
      </c>
    </row>
    <row r="135" spans="1:7" ht="14.5">
      <c r="A135" s="155">
        <f t="shared" si="2"/>
        <v>133</v>
      </c>
      <c r="B135" s="143">
        <v>426</v>
      </c>
      <c r="C135" s="140" t="s">
        <v>799</v>
      </c>
      <c r="D135" s="159" t="s">
        <v>800</v>
      </c>
      <c r="E135" s="141" t="s">
        <v>801</v>
      </c>
      <c r="F135" s="142" t="s">
        <v>802</v>
      </c>
      <c r="G135" s="144" t="s">
        <v>291</v>
      </c>
    </row>
    <row r="136" spans="1:7" ht="14.5">
      <c r="A136" s="155">
        <f t="shared" si="2"/>
        <v>134</v>
      </c>
      <c r="B136" s="143">
        <v>440</v>
      </c>
      <c r="C136" s="140" t="s">
        <v>803</v>
      </c>
      <c r="D136" s="159" t="s">
        <v>804</v>
      </c>
      <c r="E136" s="141" t="s">
        <v>805</v>
      </c>
      <c r="F136" s="142" t="s">
        <v>806</v>
      </c>
      <c r="G136" s="144" t="s">
        <v>282</v>
      </c>
    </row>
    <row r="137" spans="1:7" ht="14.5">
      <c r="A137" s="155">
        <f t="shared" si="2"/>
        <v>135</v>
      </c>
      <c r="B137" s="143">
        <v>442</v>
      </c>
      <c r="C137" s="140" t="s">
        <v>807</v>
      </c>
      <c r="D137" s="159" t="s">
        <v>808</v>
      </c>
      <c r="E137" s="141" t="s">
        <v>809</v>
      </c>
      <c r="F137" s="142" t="s">
        <v>810</v>
      </c>
      <c r="G137" s="144" t="s">
        <v>259</v>
      </c>
    </row>
    <row r="138" spans="1:7" ht="14.5">
      <c r="A138" s="155">
        <f t="shared" si="2"/>
        <v>136</v>
      </c>
      <c r="B138" s="143">
        <v>428</v>
      </c>
      <c r="C138" s="140" t="s">
        <v>811</v>
      </c>
      <c r="D138" s="159" t="s">
        <v>812</v>
      </c>
      <c r="E138" s="141" t="s">
        <v>813</v>
      </c>
      <c r="F138" s="142" t="s">
        <v>814</v>
      </c>
      <c r="G138" s="144" t="s">
        <v>282</v>
      </c>
    </row>
    <row r="139" spans="1:7" ht="14.5">
      <c r="A139" s="155">
        <f t="shared" si="2"/>
        <v>137</v>
      </c>
      <c r="B139" s="143">
        <v>434</v>
      </c>
      <c r="C139" s="140" t="s">
        <v>815</v>
      </c>
      <c r="D139" s="159" t="s">
        <v>816</v>
      </c>
      <c r="E139" s="141" t="s">
        <v>817</v>
      </c>
      <c r="F139" s="142" t="s">
        <v>818</v>
      </c>
      <c r="G139" s="144" t="s">
        <v>520</v>
      </c>
    </row>
    <row r="140" spans="1:7" ht="14.5">
      <c r="A140" s="155">
        <f t="shared" si="2"/>
        <v>138</v>
      </c>
      <c r="B140" s="143">
        <v>504</v>
      </c>
      <c r="C140" s="140" t="s">
        <v>819</v>
      </c>
      <c r="D140" s="159" t="s">
        <v>820</v>
      </c>
      <c r="E140" s="141" t="s">
        <v>821</v>
      </c>
      <c r="F140" s="142" t="s">
        <v>822</v>
      </c>
      <c r="G140" s="144" t="s">
        <v>520</v>
      </c>
    </row>
    <row r="141" spans="1:7" ht="14.5">
      <c r="A141" s="155">
        <f t="shared" si="2"/>
        <v>139</v>
      </c>
      <c r="B141" s="143">
        <v>492</v>
      </c>
      <c r="C141" s="140" t="s">
        <v>823</v>
      </c>
      <c r="D141" s="159" t="s">
        <v>824</v>
      </c>
      <c r="E141" s="141" t="s">
        <v>825</v>
      </c>
      <c r="F141" s="142" t="s">
        <v>826</v>
      </c>
      <c r="G141" s="144" t="s">
        <v>259</v>
      </c>
    </row>
    <row r="142" spans="1:7" ht="14.5">
      <c r="A142" s="155">
        <f t="shared" si="2"/>
        <v>140</v>
      </c>
      <c r="B142" s="143">
        <v>498</v>
      </c>
      <c r="C142" s="140" t="s">
        <v>827</v>
      </c>
      <c r="D142" s="159" t="s">
        <v>828</v>
      </c>
      <c r="E142" s="141" t="s">
        <v>829</v>
      </c>
      <c r="F142" s="142" t="s">
        <v>830</v>
      </c>
      <c r="G142" s="144" t="s">
        <v>282</v>
      </c>
    </row>
    <row r="143" spans="1:7" ht="14.5">
      <c r="A143" s="155">
        <f t="shared" si="2"/>
        <v>141</v>
      </c>
      <c r="B143" s="143">
        <v>499</v>
      </c>
      <c r="C143" s="140" t="s">
        <v>831</v>
      </c>
      <c r="D143" s="159" t="s">
        <v>832</v>
      </c>
      <c r="E143" s="141" t="s">
        <v>833</v>
      </c>
      <c r="F143" s="142" t="s">
        <v>834</v>
      </c>
      <c r="G143" s="144" t="s">
        <v>282</v>
      </c>
    </row>
    <row r="144" spans="1:7" ht="14.5">
      <c r="A144" s="155">
        <f t="shared" si="2"/>
        <v>142</v>
      </c>
      <c r="B144" s="143">
        <v>663</v>
      </c>
      <c r="C144" s="140" t="s">
        <v>835</v>
      </c>
      <c r="D144" s="159" t="s">
        <v>836</v>
      </c>
      <c r="E144" s="141" t="s">
        <v>837</v>
      </c>
      <c r="F144" s="142" t="s">
        <v>838</v>
      </c>
      <c r="G144" s="144" t="s">
        <v>273</v>
      </c>
    </row>
    <row r="145" spans="1:7" ht="14.5">
      <c r="A145" s="155">
        <f t="shared" si="2"/>
        <v>143</v>
      </c>
      <c r="B145" s="143">
        <v>450</v>
      </c>
      <c r="C145" s="140" t="s">
        <v>839</v>
      </c>
      <c r="D145" s="159" t="s">
        <v>840</v>
      </c>
      <c r="E145" s="141" t="s">
        <v>841</v>
      </c>
      <c r="F145" s="142" t="s">
        <v>842</v>
      </c>
      <c r="G145" s="144" t="s">
        <v>424</v>
      </c>
    </row>
    <row r="146" spans="1:7" ht="14.5">
      <c r="A146" s="155">
        <f t="shared" si="2"/>
        <v>144</v>
      </c>
      <c r="B146" s="143">
        <v>584</v>
      </c>
      <c r="C146" s="140" t="s">
        <v>843</v>
      </c>
      <c r="D146" s="159" t="s">
        <v>844</v>
      </c>
      <c r="E146" s="141" t="s">
        <v>845</v>
      </c>
      <c r="F146" s="142" t="s">
        <v>846</v>
      </c>
      <c r="G146" s="144" t="s">
        <v>305</v>
      </c>
    </row>
    <row r="147" spans="1:7" ht="43.5">
      <c r="A147" s="155">
        <f t="shared" si="2"/>
        <v>145</v>
      </c>
      <c r="B147" s="143">
        <v>807</v>
      </c>
      <c r="C147" s="140" t="s">
        <v>847</v>
      </c>
      <c r="D147" s="159" t="s">
        <v>848</v>
      </c>
      <c r="E147" s="141" t="s">
        <v>849</v>
      </c>
      <c r="F147" s="142" t="s">
        <v>850</v>
      </c>
      <c r="G147" s="144" t="s">
        <v>282</v>
      </c>
    </row>
    <row r="148" spans="1:7" ht="14.5">
      <c r="A148" s="155">
        <f t="shared" si="2"/>
        <v>146</v>
      </c>
      <c r="B148" s="143">
        <v>466</v>
      </c>
      <c r="C148" s="140" t="s">
        <v>851</v>
      </c>
      <c r="D148" s="159" t="s">
        <v>852</v>
      </c>
      <c r="E148" s="141" t="s">
        <v>853</v>
      </c>
      <c r="F148" s="142" t="s">
        <v>854</v>
      </c>
      <c r="G148" s="144" t="s">
        <v>348</v>
      </c>
    </row>
    <row r="149" spans="1:7" ht="14.5">
      <c r="A149" s="155">
        <f t="shared" si="2"/>
        <v>147</v>
      </c>
      <c r="B149" s="143">
        <v>104</v>
      </c>
      <c r="C149" s="140" t="s">
        <v>855</v>
      </c>
      <c r="D149" s="159" t="s">
        <v>856</v>
      </c>
      <c r="E149" s="141" t="s">
        <v>857</v>
      </c>
      <c r="F149" s="142" t="s">
        <v>858</v>
      </c>
      <c r="G149" s="144" t="s">
        <v>378</v>
      </c>
    </row>
    <row r="150" spans="1:7" ht="14.5">
      <c r="A150" s="155">
        <f t="shared" si="2"/>
        <v>148</v>
      </c>
      <c r="B150" s="143">
        <v>496</v>
      </c>
      <c r="C150" s="140" t="s">
        <v>859</v>
      </c>
      <c r="D150" s="159" t="s">
        <v>860</v>
      </c>
      <c r="E150" s="141" t="s">
        <v>861</v>
      </c>
      <c r="F150" s="142" t="s">
        <v>862</v>
      </c>
      <c r="G150" s="144" t="s">
        <v>461</v>
      </c>
    </row>
    <row r="151" spans="1:7" ht="14.5">
      <c r="A151" s="155">
        <f t="shared" si="2"/>
        <v>149</v>
      </c>
      <c r="B151" s="143">
        <v>446</v>
      </c>
      <c r="C151" s="140" t="s">
        <v>863</v>
      </c>
      <c r="D151" s="159" t="s">
        <v>864</v>
      </c>
      <c r="E151" s="141" t="s">
        <v>865</v>
      </c>
      <c r="F151" s="142" t="s">
        <v>866</v>
      </c>
      <c r="G151" s="144" t="s">
        <v>461</v>
      </c>
    </row>
    <row r="152" spans="1:7" ht="14.5">
      <c r="A152" s="155">
        <f t="shared" si="2"/>
        <v>150</v>
      </c>
      <c r="B152" s="143">
        <v>580</v>
      </c>
      <c r="C152" s="140" t="s">
        <v>867</v>
      </c>
      <c r="D152" s="159" t="s">
        <v>868</v>
      </c>
      <c r="E152" s="141" t="s">
        <v>869</v>
      </c>
      <c r="F152" s="142" t="s">
        <v>870</v>
      </c>
      <c r="G152" s="144" t="s">
        <v>305</v>
      </c>
    </row>
    <row r="153" spans="1:7" ht="14.5">
      <c r="A153" s="155">
        <f t="shared" si="2"/>
        <v>151</v>
      </c>
      <c r="B153" s="143">
        <v>474</v>
      </c>
      <c r="C153" s="140" t="s">
        <v>871</v>
      </c>
      <c r="D153" s="159" t="s">
        <v>872</v>
      </c>
      <c r="E153" s="141" t="s">
        <v>873</v>
      </c>
      <c r="F153" s="142" t="s">
        <v>874</v>
      </c>
      <c r="G153" s="144" t="s">
        <v>273</v>
      </c>
    </row>
    <row r="154" spans="1:7" ht="14.5">
      <c r="A154" s="155">
        <f t="shared" si="2"/>
        <v>152</v>
      </c>
      <c r="B154" s="143">
        <v>478</v>
      </c>
      <c r="C154" s="140" t="s">
        <v>875</v>
      </c>
      <c r="D154" s="159" t="s">
        <v>876</v>
      </c>
      <c r="E154" s="141" t="s">
        <v>877</v>
      </c>
      <c r="F154" s="142" t="s">
        <v>878</v>
      </c>
      <c r="G154" s="144" t="s">
        <v>348</v>
      </c>
    </row>
    <row r="155" spans="1:7" ht="14.5">
      <c r="A155" s="155">
        <f t="shared" si="2"/>
        <v>153</v>
      </c>
      <c r="B155" s="143">
        <v>500</v>
      </c>
      <c r="C155" s="140" t="s">
        <v>879</v>
      </c>
      <c r="D155" s="159" t="s">
        <v>880</v>
      </c>
      <c r="E155" s="141" t="s">
        <v>881</v>
      </c>
      <c r="F155" s="142" t="s">
        <v>882</v>
      </c>
      <c r="G155" s="144" t="s">
        <v>273</v>
      </c>
    </row>
    <row r="156" spans="1:7" ht="14.5">
      <c r="A156" s="155">
        <f t="shared" si="2"/>
        <v>154</v>
      </c>
      <c r="B156" s="143">
        <v>470</v>
      </c>
      <c r="C156" s="140" t="s">
        <v>883</v>
      </c>
      <c r="D156" s="159" t="s">
        <v>884</v>
      </c>
      <c r="E156" s="141" t="s">
        <v>885</v>
      </c>
      <c r="F156" s="142" t="s">
        <v>886</v>
      </c>
      <c r="G156" s="144" t="s">
        <v>490</v>
      </c>
    </row>
    <row r="157" spans="1:7" ht="14.5">
      <c r="A157" s="155">
        <f t="shared" si="2"/>
        <v>155</v>
      </c>
      <c r="B157" s="143">
        <v>480</v>
      </c>
      <c r="C157" s="140" t="s">
        <v>887</v>
      </c>
      <c r="D157" s="159" t="s">
        <v>888</v>
      </c>
      <c r="E157" s="141" t="s">
        <v>889</v>
      </c>
      <c r="F157" s="142" t="s">
        <v>890</v>
      </c>
      <c r="G157" s="144" t="s">
        <v>291</v>
      </c>
    </row>
    <row r="158" spans="1:7" ht="14.5">
      <c r="A158" s="155">
        <f t="shared" si="2"/>
        <v>156</v>
      </c>
      <c r="B158" s="143">
        <v>462</v>
      </c>
      <c r="C158" s="140" t="s">
        <v>891</v>
      </c>
      <c r="D158" s="159" t="s">
        <v>892</v>
      </c>
      <c r="E158" s="141" t="s">
        <v>893</v>
      </c>
      <c r="F158" s="142" t="s">
        <v>894</v>
      </c>
      <c r="G158" s="144" t="s">
        <v>424</v>
      </c>
    </row>
    <row r="159" spans="1:7" ht="14.5">
      <c r="A159" s="155">
        <f t="shared" si="2"/>
        <v>157</v>
      </c>
      <c r="B159" s="143">
        <v>454</v>
      </c>
      <c r="C159" s="140" t="s">
        <v>895</v>
      </c>
      <c r="D159" s="159" t="s">
        <v>896</v>
      </c>
      <c r="E159" s="141" t="s">
        <v>897</v>
      </c>
      <c r="F159" s="142" t="s">
        <v>898</v>
      </c>
      <c r="G159" s="144" t="s">
        <v>291</v>
      </c>
    </row>
    <row r="160" spans="1:7" ht="14.5">
      <c r="A160" s="155">
        <f t="shared" si="2"/>
        <v>158</v>
      </c>
      <c r="B160" s="143">
        <v>484</v>
      </c>
      <c r="C160" s="140" t="s">
        <v>899</v>
      </c>
      <c r="D160" s="159" t="s">
        <v>900</v>
      </c>
      <c r="E160" s="141" t="s">
        <v>901</v>
      </c>
      <c r="F160" s="142" t="s">
        <v>902</v>
      </c>
      <c r="G160" s="144" t="s">
        <v>273</v>
      </c>
    </row>
    <row r="161" spans="1:7" ht="14.5">
      <c r="A161" s="155">
        <f t="shared" si="2"/>
        <v>159</v>
      </c>
      <c r="B161" s="143">
        <v>458</v>
      </c>
      <c r="C161" s="140" t="s">
        <v>903</v>
      </c>
      <c r="D161" s="159" t="s">
        <v>904</v>
      </c>
      <c r="E161" s="141" t="s">
        <v>905</v>
      </c>
      <c r="F161" s="142" t="s">
        <v>906</v>
      </c>
      <c r="G161" s="144" t="s">
        <v>378</v>
      </c>
    </row>
    <row r="162" spans="1:7" ht="14.5">
      <c r="A162" s="155">
        <f t="shared" si="2"/>
        <v>160</v>
      </c>
      <c r="B162" s="143">
        <v>508</v>
      </c>
      <c r="C162" s="140" t="s">
        <v>907</v>
      </c>
      <c r="D162" s="159" t="s">
        <v>908</v>
      </c>
      <c r="E162" s="141" t="s">
        <v>909</v>
      </c>
      <c r="F162" s="142" t="s">
        <v>910</v>
      </c>
      <c r="G162" s="144" t="s">
        <v>291</v>
      </c>
    </row>
    <row r="163" spans="1:7" ht="14.5">
      <c r="A163" s="155">
        <f t="shared" si="2"/>
        <v>161</v>
      </c>
      <c r="B163" s="143">
        <v>516</v>
      </c>
      <c r="C163" s="140" t="s">
        <v>911</v>
      </c>
      <c r="D163" s="159" t="s">
        <v>912</v>
      </c>
      <c r="E163" s="141" t="s">
        <v>913</v>
      </c>
      <c r="F163" s="142" t="s">
        <v>914</v>
      </c>
      <c r="G163" s="144" t="s">
        <v>291</v>
      </c>
    </row>
    <row r="164" spans="1:7" ht="14.5">
      <c r="A164" s="155">
        <f t="shared" si="2"/>
        <v>162</v>
      </c>
      <c r="B164" s="143">
        <v>540</v>
      </c>
      <c r="C164" s="140" t="s">
        <v>915</v>
      </c>
      <c r="D164" s="159" t="s">
        <v>916</v>
      </c>
      <c r="E164" s="141" t="s">
        <v>917</v>
      </c>
      <c r="F164" s="142" t="s">
        <v>918</v>
      </c>
      <c r="G164" s="144" t="s">
        <v>305</v>
      </c>
    </row>
    <row r="165" spans="1:7" ht="14.5">
      <c r="A165" s="155">
        <f t="shared" si="2"/>
        <v>163</v>
      </c>
      <c r="B165" s="143">
        <v>562</v>
      </c>
      <c r="C165" s="140" t="s">
        <v>919</v>
      </c>
      <c r="D165" s="159" t="s">
        <v>920</v>
      </c>
      <c r="E165" s="141" t="s">
        <v>921</v>
      </c>
      <c r="F165" s="142" t="s">
        <v>922</v>
      </c>
      <c r="G165" s="144" t="s">
        <v>361</v>
      </c>
    </row>
    <row r="166" spans="1:7" ht="14.5">
      <c r="A166" s="155">
        <f t="shared" si="2"/>
        <v>164</v>
      </c>
      <c r="B166" s="143">
        <v>574</v>
      </c>
      <c r="C166" s="140" t="s">
        <v>923</v>
      </c>
      <c r="D166" s="159" t="s">
        <v>924</v>
      </c>
      <c r="E166" s="141" t="s">
        <v>925</v>
      </c>
      <c r="F166" s="142" t="s">
        <v>926</v>
      </c>
      <c r="G166" s="144" t="s">
        <v>305</v>
      </c>
    </row>
    <row r="167" spans="1:7" ht="14.5">
      <c r="A167" s="155">
        <f t="shared" si="2"/>
        <v>165</v>
      </c>
      <c r="B167" s="143">
        <v>566</v>
      </c>
      <c r="C167" s="140" t="s">
        <v>927</v>
      </c>
      <c r="D167" s="159" t="s">
        <v>928</v>
      </c>
      <c r="E167" s="141" t="s">
        <v>929</v>
      </c>
      <c r="F167" s="142" t="s">
        <v>930</v>
      </c>
      <c r="G167" s="144" t="s">
        <v>361</v>
      </c>
    </row>
    <row r="168" spans="1:7" ht="14.5">
      <c r="A168" s="155">
        <f t="shared" si="2"/>
        <v>166</v>
      </c>
      <c r="B168" s="143">
        <v>558</v>
      </c>
      <c r="C168" s="140" t="s">
        <v>931</v>
      </c>
      <c r="D168" s="159" t="s">
        <v>932</v>
      </c>
      <c r="E168" s="141" t="s">
        <v>933</v>
      </c>
      <c r="F168" s="142" t="s">
        <v>934</v>
      </c>
      <c r="G168" s="144" t="s">
        <v>273</v>
      </c>
    </row>
    <row r="169" spans="1:7" ht="14.5">
      <c r="A169" s="155">
        <f t="shared" si="2"/>
        <v>167</v>
      </c>
      <c r="B169" s="143">
        <v>528</v>
      </c>
      <c r="C169" s="140" t="s">
        <v>935</v>
      </c>
      <c r="D169" s="159" t="s">
        <v>936</v>
      </c>
      <c r="E169" s="141" t="s">
        <v>937</v>
      </c>
      <c r="F169" s="142" t="s">
        <v>938</v>
      </c>
      <c r="G169" s="144" t="s">
        <v>259</v>
      </c>
    </row>
    <row r="170" spans="1:7" ht="14.5">
      <c r="A170" s="155">
        <f t="shared" si="2"/>
        <v>168</v>
      </c>
      <c r="B170" s="143">
        <v>578</v>
      </c>
      <c r="C170" s="140" t="s">
        <v>939</v>
      </c>
      <c r="D170" s="159" t="s">
        <v>940</v>
      </c>
      <c r="E170" s="141" t="s">
        <v>941</v>
      </c>
      <c r="F170" s="142" t="s">
        <v>942</v>
      </c>
      <c r="G170" s="144" t="s">
        <v>322</v>
      </c>
    </row>
    <row r="171" spans="1:7" ht="14.5">
      <c r="A171" s="155">
        <f t="shared" si="2"/>
        <v>169</v>
      </c>
      <c r="B171" s="143">
        <v>524</v>
      </c>
      <c r="C171" s="140" t="s">
        <v>943</v>
      </c>
      <c r="D171" s="159" t="s">
        <v>944</v>
      </c>
      <c r="E171" s="141" t="s">
        <v>945</v>
      </c>
      <c r="F171" s="142" t="s">
        <v>946</v>
      </c>
      <c r="G171" s="144" t="s">
        <v>339</v>
      </c>
    </row>
    <row r="172" spans="1:7" ht="14.5">
      <c r="A172" s="155">
        <f t="shared" si="2"/>
        <v>170</v>
      </c>
      <c r="B172" s="143">
        <v>520</v>
      </c>
      <c r="C172" s="140" t="s">
        <v>947</v>
      </c>
      <c r="D172" s="159" t="s">
        <v>948</v>
      </c>
      <c r="E172" s="141" t="s">
        <v>949</v>
      </c>
      <c r="F172" s="142" t="s">
        <v>950</v>
      </c>
      <c r="G172" s="144" t="s">
        <v>305</v>
      </c>
    </row>
    <row r="173" spans="1:7" ht="14.5">
      <c r="A173" s="155">
        <f t="shared" si="2"/>
        <v>171</v>
      </c>
      <c r="B173" s="143">
        <v>570</v>
      </c>
      <c r="C173" s="140" t="s">
        <v>951</v>
      </c>
      <c r="D173" s="159" t="s">
        <v>952</v>
      </c>
      <c r="E173" s="141" t="s">
        <v>953</v>
      </c>
      <c r="F173" s="142" t="s">
        <v>954</v>
      </c>
      <c r="G173" s="144" t="s">
        <v>305</v>
      </c>
    </row>
    <row r="174" spans="1:7" ht="14.5">
      <c r="A174" s="155">
        <f t="shared" si="2"/>
        <v>172</v>
      </c>
      <c r="B174" s="143">
        <v>554</v>
      </c>
      <c r="C174" s="140" t="s">
        <v>955</v>
      </c>
      <c r="D174" s="159" t="s">
        <v>956</v>
      </c>
      <c r="E174" s="141" t="s">
        <v>957</v>
      </c>
      <c r="F174" s="142" t="s">
        <v>958</v>
      </c>
      <c r="G174" s="144" t="s">
        <v>305</v>
      </c>
    </row>
    <row r="175" spans="1:7" ht="14.5">
      <c r="A175" s="155">
        <f t="shared" si="2"/>
        <v>173</v>
      </c>
      <c r="B175" s="143">
        <v>512</v>
      </c>
      <c r="C175" s="140" t="s">
        <v>959</v>
      </c>
      <c r="D175" s="159" t="s">
        <v>960</v>
      </c>
      <c r="E175" s="141" t="s">
        <v>961</v>
      </c>
      <c r="F175" s="142" t="s">
        <v>962</v>
      </c>
      <c r="G175" s="144" t="s">
        <v>264</v>
      </c>
    </row>
    <row r="176" spans="1:7" ht="14.5">
      <c r="A176" s="155">
        <f t="shared" si="2"/>
        <v>174</v>
      </c>
      <c r="B176" s="143">
        <v>591</v>
      </c>
      <c r="C176" s="140" t="s">
        <v>963</v>
      </c>
      <c r="D176" s="159" t="s">
        <v>964</v>
      </c>
      <c r="E176" s="141" t="s">
        <v>965</v>
      </c>
      <c r="F176" s="142" t="s">
        <v>966</v>
      </c>
      <c r="G176" s="144" t="s">
        <v>273</v>
      </c>
    </row>
    <row r="177" spans="1:7" ht="14.5">
      <c r="A177" s="155">
        <f t="shared" si="2"/>
        <v>175</v>
      </c>
      <c r="B177" s="143">
        <v>604</v>
      </c>
      <c r="C177" s="140" t="s">
        <v>967</v>
      </c>
      <c r="D177" s="159" t="s">
        <v>968</v>
      </c>
      <c r="E177" s="141" t="s">
        <v>969</v>
      </c>
      <c r="F177" s="142" t="s">
        <v>970</v>
      </c>
      <c r="G177" s="144" t="s">
        <v>300</v>
      </c>
    </row>
    <row r="178" spans="1:7" ht="14.5">
      <c r="A178" s="155">
        <f t="shared" si="2"/>
        <v>176</v>
      </c>
      <c r="B178" s="143">
        <v>258</v>
      </c>
      <c r="C178" s="140" t="s">
        <v>971</v>
      </c>
      <c r="D178" s="159" t="s">
        <v>972</v>
      </c>
      <c r="E178" s="141" t="s">
        <v>973</v>
      </c>
      <c r="F178" s="142" t="s">
        <v>974</v>
      </c>
      <c r="G178" s="144" t="s">
        <v>305</v>
      </c>
    </row>
    <row r="179" spans="1:7" ht="14.5">
      <c r="A179" s="155">
        <f t="shared" si="2"/>
        <v>177</v>
      </c>
      <c r="B179" s="143">
        <v>598</v>
      </c>
      <c r="C179" s="140" t="s">
        <v>975</v>
      </c>
      <c r="D179" s="159" t="s">
        <v>976</v>
      </c>
      <c r="E179" s="141" t="s">
        <v>977</v>
      </c>
      <c r="F179" s="142" t="s">
        <v>978</v>
      </c>
      <c r="G179" s="144" t="s">
        <v>305</v>
      </c>
    </row>
    <row r="180" spans="1:7" ht="14.5">
      <c r="A180" s="155">
        <f t="shared" si="2"/>
        <v>178</v>
      </c>
      <c r="B180" s="143">
        <v>608</v>
      </c>
      <c r="C180" s="140" t="s">
        <v>979</v>
      </c>
      <c r="D180" s="159" t="s">
        <v>980</v>
      </c>
      <c r="E180" s="141" t="s">
        <v>981</v>
      </c>
      <c r="F180" s="142" t="s">
        <v>982</v>
      </c>
      <c r="G180" s="144" t="s">
        <v>378</v>
      </c>
    </row>
    <row r="181" spans="1:7" ht="14.5">
      <c r="A181" s="155">
        <f t="shared" si="2"/>
        <v>179</v>
      </c>
      <c r="B181" s="143">
        <v>586</v>
      </c>
      <c r="C181" s="140" t="s">
        <v>983</v>
      </c>
      <c r="D181" s="159" t="s">
        <v>984</v>
      </c>
      <c r="E181" s="141" t="s">
        <v>985</v>
      </c>
      <c r="F181" s="142" t="s">
        <v>986</v>
      </c>
      <c r="G181" s="144" t="s">
        <v>339</v>
      </c>
    </row>
    <row r="182" spans="1:7" ht="14.5">
      <c r="A182" s="155">
        <f t="shared" si="2"/>
        <v>180</v>
      </c>
      <c r="B182" s="143">
        <v>616</v>
      </c>
      <c r="C182" s="140" t="s">
        <v>987</v>
      </c>
      <c r="D182" s="159" t="s">
        <v>988</v>
      </c>
      <c r="E182" s="141" t="s">
        <v>989</v>
      </c>
      <c r="F182" s="142" t="s">
        <v>990</v>
      </c>
      <c r="G182" s="144" t="s">
        <v>991</v>
      </c>
    </row>
    <row r="183" spans="1:7" ht="14.5">
      <c r="A183" s="155">
        <f t="shared" si="2"/>
        <v>181</v>
      </c>
      <c r="B183" s="143">
        <v>666</v>
      </c>
      <c r="C183" s="140" t="s">
        <v>992</v>
      </c>
      <c r="D183" s="159" t="s">
        <v>993</v>
      </c>
      <c r="E183" s="141" t="s">
        <v>994</v>
      </c>
      <c r="F183" s="142" t="s">
        <v>995</v>
      </c>
      <c r="G183" s="144" t="s">
        <v>419</v>
      </c>
    </row>
    <row r="184" spans="1:7" ht="14.5">
      <c r="A184" s="155">
        <f t="shared" si="2"/>
        <v>182</v>
      </c>
      <c r="B184" s="143">
        <v>612</v>
      </c>
      <c r="C184" s="140" t="s">
        <v>996</v>
      </c>
      <c r="D184" s="159" t="s">
        <v>997</v>
      </c>
      <c r="E184" s="141" t="s">
        <v>998</v>
      </c>
      <c r="F184" s="142" t="s">
        <v>999</v>
      </c>
      <c r="G184" s="144" t="s">
        <v>305</v>
      </c>
    </row>
    <row r="185" spans="1:7" ht="14.5">
      <c r="A185" s="155">
        <f t="shared" si="2"/>
        <v>183</v>
      </c>
      <c r="B185" s="143">
        <v>630</v>
      </c>
      <c r="C185" s="140" t="s">
        <v>1000</v>
      </c>
      <c r="D185" s="159" t="s">
        <v>1001</v>
      </c>
      <c r="E185" s="141" t="s">
        <v>1002</v>
      </c>
      <c r="F185" s="142" t="s">
        <v>1003</v>
      </c>
      <c r="G185" s="144" t="s">
        <v>273</v>
      </c>
    </row>
    <row r="186" spans="1:7" ht="29">
      <c r="A186" s="155">
        <f t="shared" si="2"/>
        <v>184</v>
      </c>
      <c r="B186" s="143">
        <v>275</v>
      </c>
      <c r="C186" s="140" t="s">
        <v>1004</v>
      </c>
      <c r="D186" s="159" t="s">
        <v>1005</v>
      </c>
      <c r="E186" s="141" t="s">
        <v>1006</v>
      </c>
      <c r="F186" s="142" t="s">
        <v>1007</v>
      </c>
      <c r="G186" s="144" t="s">
        <v>264</v>
      </c>
    </row>
    <row r="187" spans="1:7" ht="14.5">
      <c r="A187" s="155">
        <f t="shared" si="2"/>
        <v>185</v>
      </c>
      <c r="B187" s="143">
        <v>620</v>
      </c>
      <c r="C187" s="140" t="s">
        <v>1008</v>
      </c>
      <c r="D187" s="159" t="s">
        <v>1009</v>
      </c>
      <c r="E187" s="141" t="s">
        <v>1010</v>
      </c>
      <c r="F187" s="142" t="s">
        <v>1011</v>
      </c>
      <c r="G187" s="144" t="s">
        <v>259</v>
      </c>
    </row>
    <row r="188" spans="1:7" ht="14.5">
      <c r="A188" s="155">
        <f t="shared" si="2"/>
        <v>186</v>
      </c>
      <c r="B188" s="143">
        <v>585</v>
      </c>
      <c r="C188" s="140" t="s">
        <v>1012</v>
      </c>
      <c r="D188" s="159" t="s">
        <v>1013</v>
      </c>
      <c r="E188" s="141" t="s">
        <v>1014</v>
      </c>
      <c r="F188" s="142" t="s">
        <v>1015</v>
      </c>
      <c r="G188" s="144" t="s">
        <v>305</v>
      </c>
    </row>
    <row r="189" spans="1:7" ht="14.5">
      <c r="A189" s="155">
        <f t="shared" si="2"/>
        <v>187</v>
      </c>
      <c r="B189" s="143">
        <v>600</v>
      </c>
      <c r="C189" s="140" t="s">
        <v>1016</v>
      </c>
      <c r="D189" s="159" t="s">
        <v>1017</v>
      </c>
      <c r="E189" s="141" t="s">
        <v>1018</v>
      </c>
      <c r="F189" s="142" t="s">
        <v>1019</v>
      </c>
      <c r="G189" s="144" t="s">
        <v>300</v>
      </c>
    </row>
    <row r="190" spans="1:7" ht="14.5">
      <c r="A190" s="155">
        <f t="shared" si="2"/>
        <v>188</v>
      </c>
      <c r="B190" s="143">
        <v>634</v>
      </c>
      <c r="C190" s="140" t="s">
        <v>1020</v>
      </c>
      <c r="D190" s="159" t="s">
        <v>1021</v>
      </c>
      <c r="E190" s="141" t="s">
        <v>1022</v>
      </c>
      <c r="F190" s="142" t="s">
        <v>1023</v>
      </c>
      <c r="G190" s="144" t="s">
        <v>264</v>
      </c>
    </row>
    <row r="191" spans="1:7" ht="14.5">
      <c r="A191" s="155">
        <f t="shared" si="2"/>
        <v>189</v>
      </c>
      <c r="B191" s="143">
        <v>638</v>
      </c>
      <c r="C191" s="140" t="s">
        <v>1024</v>
      </c>
      <c r="D191" s="159" t="s">
        <v>1025</v>
      </c>
      <c r="E191" s="141" t="s">
        <v>1026</v>
      </c>
      <c r="F191" s="142" t="s">
        <v>1027</v>
      </c>
      <c r="G191" s="144" t="s">
        <v>424</v>
      </c>
    </row>
    <row r="192" spans="1:7" ht="14.5">
      <c r="A192" s="155">
        <f t="shared" si="2"/>
        <v>190</v>
      </c>
      <c r="B192" s="143">
        <v>642</v>
      </c>
      <c r="C192" s="140" t="s">
        <v>1028</v>
      </c>
      <c r="D192" s="159" t="s">
        <v>1029</v>
      </c>
      <c r="E192" s="141" t="s">
        <v>1030</v>
      </c>
      <c r="F192" s="142" t="s">
        <v>1031</v>
      </c>
      <c r="G192" s="144" t="s">
        <v>282</v>
      </c>
    </row>
    <row r="193" spans="1:7" ht="14.5">
      <c r="A193" s="155">
        <f t="shared" si="2"/>
        <v>191</v>
      </c>
      <c r="B193" s="143">
        <v>688</v>
      </c>
      <c r="C193" s="140" t="s">
        <v>1032</v>
      </c>
      <c r="D193" s="159" t="s">
        <v>1033</v>
      </c>
      <c r="E193" s="141" t="s">
        <v>1034</v>
      </c>
      <c r="F193" s="142" t="s">
        <v>1035</v>
      </c>
      <c r="G193" s="144" t="s">
        <v>282</v>
      </c>
    </row>
    <row r="194" spans="1:7" ht="14.5">
      <c r="A194" s="155">
        <f t="shared" si="2"/>
        <v>192</v>
      </c>
      <c r="B194" s="143">
        <v>643</v>
      </c>
      <c r="C194" s="140" t="s">
        <v>1036</v>
      </c>
      <c r="D194" s="159" t="s">
        <v>1037</v>
      </c>
      <c r="E194" s="141" t="s">
        <v>1038</v>
      </c>
      <c r="F194" s="142" t="s">
        <v>1039</v>
      </c>
      <c r="G194" s="144" t="s">
        <v>1040</v>
      </c>
    </row>
    <row r="195" spans="1:7" ht="14.5">
      <c r="A195" s="155">
        <f t="shared" si="2"/>
        <v>193</v>
      </c>
      <c r="B195" s="143">
        <v>646</v>
      </c>
      <c r="C195" s="140" t="s">
        <v>1041</v>
      </c>
      <c r="D195" s="159" t="s">
        <v>1042</v>
      </c>
      <c r="E195" s="141" t="s">
        <v>1043</v>
      </c>
      <c r="F195" s="142" t="s">
        <v>1044</v>
      </c>
      <c r="G195" s="144" t="s">
        <v>361</v>
      </c>
    </row>
    <row r="196" spans="1:7" ht="14.5">
      <c r="A196" s="155">
        <f t="shared" ref="A196:A254" si="3">ROW()-2</f>
        <v>194</v>
      </c>
      <c r="B196" s="143">
        <v>682</v>
      </c>
      <c r="C196" s="140" t="s">
        <v>1045</v>
      </c>
      <c r="D196" s="159" t="s">
        <v>1046</v>
      </c>
      <c r="E196" s="141" t="s">
        <v>1047</v>
      </c>
      <c r="F196" s="142" t="s">
        <v>1048</v>
      </c>
      <c r="G196" s="144" t="s">
        <v>264</v>
      </c>
    </row>
    <row r="197" spans="1:7" ht="14.5">
      <c r="A197" s="155">
        <f t="shared" si="3"/>
        <v>195</v>
      </c>
      <c r="B197" s="143">
        <v>90</v>
      </c>
      <c r="C197" s="140" t="s">
        <v>1049</v>
      </c>
      <c r="D197" s="159" t="s">
        <v>1050</v>
      </c>
      <c r="E197" s="141" t="s">
        <v>1051</v>
      </c>
      <c r="F197" s="142" t="s">
        <v>1052</v>
      </c>
      <c r="G197" s="144" t="s">
        <v>305</v>
      </c>
    </row>
    <row r="198" spans="1:7" ht="14.5">
      <c r="A198" s="155">
        <f t="shared" si="3"/>
        <v>196</v>
      </c>
      <c r="B198" s="143">
        <v>690</v>
      </c>
      <c r="C198" s="140" t="s">
        <v>1053</v>
      </c>
      <c r="D198" s="159" t="s">
        <v>1054</v>
      </c>
      <c r="E198" s="141" t="s">
        <v>1055</v>
      </c>
      <c r="F198" s="142" t="s">
        <v>1056</v>
      </c>
      <c r="G198" s="144" t="s">
        <v>424</v>
      </c>
    </row>
    <row r="199" spans="1:7" ht="14.5">
      <c r="A199" s="155">
        <f t="shared" si="3"/>
        <v>197</v>
      </c>
      <c r="B199" s="143">
        <v>729</v>
      </c>
      <c r="C199" s="140" t="s">
        <v>1057</v>
      </c>
      <c r="D199" s="159" t="s">
        <v>1058</v>
      </c>
      <c r="E199" s="141" t="s">
        <v>1059</v>
      </c>
      <c r="F199" s="142" t="s">
        <v>1060</v>
      </c>
      <c r="G199" s="144" t="s">
        <v>503</v>
      </c>
    </row>
    <row r="200" spans="1:7" ht="14.5">
      <c r="A200" s="155">
        <f t="shared" si="3"/>
        <v>198</v>
      </c>
      <c r="B200" s="143">
        <v>752</v>
      </c>
      <c r="C200" s="140" t="s">
        <v>1061</v>
      </c>
      <c r="D200" s="159" t="s">
        <v>1062</v>
      </c>
      <c r="E200" s="141" t="s">
        <v>1063</v>
      </c>
      <c r="F200" s="142" t="s">
        <v>1064</v>
      </c>
      <c r="G200" s="144" t="s">
        <v>322</v>
      </c>
    </row>
    <row r="201" spans="1:7" ht="14.5">
      <c r="A201" s="155">
        <f t="shared" si="3"/>
        <v>199</v>
      </c>
      <c r="B201" s="143">
        <v>702</v>
      </c>
      <c r="C201" s="140" t="s">
        <v>1065</v>
      </c>
      <c r="D201" s="159" t="s">
        <v>1066</v>
      </c>
      <c r="E201" s="141" t="s">
        <v>1067</v>
      </c>
      <c r="F201" s="142" t="s">
        <v>1068</v>
      </c>
      <c r="G201" s="144" t="s">
        <v>378</v>
      </c>
    </row>
    <row r="202" spans="1:7" ht="44" customHeight="1">
      <c r="A202" s="155">
        <f t="shared" si="3"/>
        <v>200</v>
      </c>
      <c r="B202" s="150">
        <v>654</v>
      </c>
      <c r="C202" s="151" t="s">
        <v>1069</v>
      </c>
      <c r="D202" s="160" t="s">
        <v>1070</v>
      </c>
      <c r="E202" s="141" t="s">
        <v>1071</v>
      </c>
      <c r="F202" s="152" t="s">
        <v>1073</v>
      </c>
      <c r="G202" s="153" t="s">
        <v>348</v>
      </c>
    </row>
    <row r="203" spans="1:7">
      <c r="A203" s="155">
        <f t="shared" si="3"/>
        <v>201</v>
      </c>
      <c r="B203" s="150"/>
      <c r="C203" s="151"/>
      <c r="D203" s="160"/>
      <c r="E203" s="141" t="s">
        <v>1072</v>
      </c>
      <c r="F203" s="152"/>
      <c r="G203" s="153"/>
    </row>
    <row r="204" spans="1:7" ht="14.5">
      <c r="A204" s="155">
        <f t="shared" si="3"/>
        <v>202</v>
      </c>
      <c r="B204" s="143">
        <v>705</v>
      </c>
      <c r="C204" s="140" t="s">
        <v>1074</v>
      </c>
      <c r="D204" s="159" t="s">
        <v>1075</v>
      </c>
      <c r="E204" s="141" t="s">
        <v>1076</v>
      </c>
      <c r="F204" s="142" t="s">
        <v>1077</v>
      </c>
      <c r="G204" s="144" t="s">
        <v>282</v>
      </c>
    </row>
    <row r="205" spans="1:7" ht="26">
      <c r="A205" s="155">
        <f t="shared" si="3"/>
        <v>203</v>
      </c>
      <c r="B205" s="143">
        <v>744</v>
      </c>
      <c r="C205" s="140" t="s">
        <v>1078</v>
      </c>
      <c r="D205" s="159" t="s">
        <v>1079</v>
      </c>
      <c r="E205" s="141" t="s">
        <v>1080</v>
      </c>
      <c r="F205" s="142" t="s">
        <v>1081</v>
      </c>
      <c r="G205" s="144" t="s">
        <v>322</v>
      </c>
    </row>
    <row r="206" spans="1:7" ht="14.5">
      <c r="A206" s="155">
        <f t="shared" si="3"/>
        <v>204</v>
      </c>
      <c r="B206" s="143">
        <v>703</v>
      </c>
      <c r="C206" s="140" t="s">
        <v>1082</v>
      </c>
      <c r="D206" s="159" t="s">
        <v>1083</v>
      </c>
      <c r="E206" s="141" t="s">
        <v>1084</v>
      </c>
      <c r="F206" s="142" t="s">
        <v>1085</v>
      </c>
      <c r="G206" s="144" t="s">
        <v>282</v>
      </c>
    </row>
    <row r="207" spans="1:7" ht="14.5">
      <c r="A207" s="155">
        <f t="shared" si="3"/>
        <v>205</v>
      </c>
      <c r="B207" s="143">
        <v>694</v>
      </c>
      <c r="C207" s="140" t="s">
        <v>1086</v>
      </c>
      <c r="D207" s="159" t="s">
        <v>1087</v>
      </c>
      <c r="E207" s="141" t="s">
        <v>1088</v>
      </c>
      <c r="F207" s="142" t="s">
        <v>1089</v>
      </c>
      <c r="G207" s="144" t="s">
        <v>348</v>
      </c>
    </row>
    <row r="208" spans="1:7" ht="14.5">
      <c r="A208" s="155">
        <f t="shared" si="3"/>
        <v>206</v>
      </c>
      <c r="B208" s="143">
        <v>674</v>
      </c>
      <c r="C208" s="140" t="s">
        <v>1090</v>
      </c>
      <c r="D208" s="159" t="s">
        <v>1091</v>
      </c>
      <c r="E208" s="141" t="s">
        <v>1092</v>
      </c>
      <c r="F208" s="142" t="s">
        <v>1093</v>
      </c>
      <c r="G208" s="144" t="s">
        <v>259</v>
      </c>
    </row>
    <row r="209" spans="1:7" ht="14.5">
      <c r="A209" s="155">
        <f t="shared" si="3"/>
        <v>207</v>
      </c>
      <c r="B209" s="143">
        <v>686</v>
      </c>
      <c r="C209" s="140" t="s">
        <v>1094</v>
      </c>
      <c r="D209" s="159" t="s">
        <v>1095</v>
      </c>
      <c r="E209" s="141" t="s">
        <v>1096</v>
      </c>
      <c r="F209" s="142" t="s">
        <v>1097</v>
      </c>
      <c r="G209" s="144" t="s">
        <v>348</v>
      </c>
    </row>
    <row r="210" spans="1:7" ht="14.5">
      <c r="A210" s="155">
        <f t="shared" si="3"/>
        <v>208</v>
      </c>
      <c r="B210" s="143">
        <v>706</v>
      </c>
      <c r="C210" s="140" t="s">
        <v>1098</v>
      </c>
      <c r="D210" s="159" t="s">
        <v>1099</v>
      </c>
      <c r="E210" s="141" t="s">
        <v>1100</v>
      </c>
      <c r="F210" s="142" t="s">
        <v>1101</v>
      </c>
      <c r="G210" s="144" t="s">
        <v>503</v>
      </c>
    </row>
    <row r="211" spans="1:7" ht="14.5">
      <c r="A211" s="155">
        <f t="shared" si="3"/>
        <v>209</v>
      </c>
      <c r="B211" s="143">
        <v>740</v>
      </c>
      <c r="C211" s="140" t="s">
        <v>1102</v>
      </c>
      <c r="D211" s="159" t="s">
        <v>1103</v>
      </c>
      <c r="E211" s="141" t="s">
        <v>1104</v>
      </c>
      <c r="F211" s="142" t="s">
        <v>1105</v>
      </c>
      <c r="G211" s="144" t="s">
        <v>300</v>
      </c>
    </row>
    <row r="212" spans="1:7" ht="14.5">
      <c r="A212" s="155">
        <f t="shared" si="3"/>
        <v>210</v>
      </c>
      <c r="B212" s="143">
        <v>728</v>
      </c>
      <c r="C212" s="140" t="s">
        <v>1106</v>
      </c>
      <c r="D212" s="159" t="s">
        <v>1107</v>
      </c>
      <c r="E212" s="141" t="s">
        <v>1108</v>
      </c>
      <c r="F212" s="142" t="s">
        <v>1109</v>
      </c>
      <c r="G212" s="144" t="s">
        <v>503</v>
      </c>
    </row>
    <row r="213" spans="1:7" ht="14.5">
      <c r="A213" s="155">
        <f t="shared" si="3"/>
        <v>211</v>
      </c>
      <c r="B213" s="143">
        <v>678</v>
      </c>
      <c r="C213" s="140" t="s">
        <v>1110</v>
      </c>
      <c r="D213" s="159" t="s">
        <v>1111</v>
      </c>
      <c r="E213" s="141" t="s">
        <v>1112</v>
      </c>
      <c r="F213" s="142" t="s">
        <v>1113</v>
      </c>
      <c r="G213" s="144" t="s">
        <v>361</v>
      </c>
    </row>
    <row r="214" spans="1:7" ht="14.5">
      <c r="A214" s="155">
        <f t="shared" si="3"/>
        <v>212</v>
      </c>
      <c r="B214" s="143">
        <v>222</v>
      </c>
      <c r="C214" s="140" t="s">
        <v>1114</v>
      </c>
      <c r="D214" s="159" t="s">
        <v>1115</v>
      </c>
      <c r="E214" s="141" t="s">
        <v>1116</v>
      </c>
      <c r="F214" s="142" t="s">
        <v>1117</v>
      </c>
      <c r="G214" s="144" t="s">
        <v>273</v>
      </c>
    </row>
    <row r="215" spans="1:7" ht="26">
      <c r="A215" s="155">
        <f t="shared" si="3"/>
        <v>213</v>
      </c>
      <c r="B215" s="143">
        <v>534</v>
      </c>
      <c r="C215" s="140" t="s">
        <v>1118</v>
      </c>
      <c r="D215" s="159" t="s">
        <v>1119</v>
      </c>
      <c r="E215" s="141" t="s">
        <v>1120</v>
      </c>
      <c r="F215" s="142" t="s">
        <v>1121</v>
      </c>
      <c r="G215" s="144" t="s">
        <v>273</v>
      </c>
    </row>
    <row r="216" spans="1:7" ht="14.5">
      <c r="A216" s="155">
        <f t="shared" si="3"/>
        <v>214</v>
      </c>
      <c r="B216" s="143">
        <v>760</v>
      </c>
      <c r="C216" s="140" t="s">
        <v>1122</v>
      </c>
      <c r="D216" s="159" t="s">
        <v>1123</v>
      </c>
      <c r="E216" s="141" t="s">
        <v>1124</v>
      </c>
      <c r="F216" s="142" t="s">
        <v>1125</v>
      </c>
      <c r="G216" s="144" t="s">
        <v>264</v>
      </c>
    </row>
    <row r="217" spans="1:7" ht="14.5">
      <c r="A217" s="155">
        <f t="shared" si="3"/>
        <v>215</v>
      </c>
      <c r="B217" s="143">
        <v>748</v>
      </c>
      <c r="C217" s="140" t="s">
        <v>1126</v>
      </c>
      <c r="D217" s="159" t="s">
        <v>1127</v>
      </c>
      <c r="E217" s="141" t="s">
        <v>1128</v>
      </c>
      <c r="F217" s="142" t="s">
        <v>1129</v>
      </c>
      <c r="G217" s="144" t="s">
        <v>291</v>
      </c>
    </row>
    <row r="218" spans="1:7" ht="14.5">
      <c r="A218" s="155">
        <f t="shared" si="3"/>
        <v>216</v>
      </c>
      <c r="B218" s="143">
        <v>796</v>
      </c>
      <c r="C218" s="140" t="s">
        <v>1130</v>
      </c>
      <c r="D218" s="159" t="s">
        <v>1131</v>
      </c>
      <c r="E218" s="141" t="s">
        <v>1132</v>
      </c>
      <c r="F218" s="142" t="s">
        <v>1133</v>
      </c>
      <c r="G218" s="144" t="s">
        <v>273</v>
      </c>
    </row>
    <row r="219" spans="1:7" ht="14.5">
      <c r="A219" s="155">
        <f t="shared" si="3"/>
        <v>217</v>
      </c>
      <c r="B219" s="143">
        <v>148</v>
      </c>
      <c r="C219" s="140" t="s">
        <v>1134</v>
      </c>
      <c r="D219" s="159" t="s">
        <v>1135</v>
      </c>
      <c r="E219" s="141" t="s">
        <v>1136</v>
      </c>
      <c r="F219" s="142" t="s">
        <v>1137</v>
      </c>
      <c r="G219" s="144" t="s">
        <v>361</v>
      </c>
    </row>
    <row r="220" spans="1:7" ht="14.5">
      <c r="A220" s="155">
        <f t="shared" si="3"/>
        <v>218</v>
      </c>
      <c r="B220" s="143">
        <v>260</v>
      </c>
      <c r="C220" s="140" t="s">
        <v>1138</v>
      </c>
      <c r="D220" s="159" t="s">
        <v>1139</v>
      </c>
      <c r="E220" s="141" t="s">
        <v>1140</v>
      </c>
      <c r="F220" s="142" t="s">
        <v>1141</v>
      </c>
      <c r="G220" s="144" t="s">
        <v>424</v>
      </c>
    </row>
    <row r="221" spans="1:7" ht="14.5">
      <c r="A221" s="155">
        <f t="shared" si="3"/>
        <v>219</v>
      </c>
      <c r="B221" s="143">
        <v>768</v>
      </c>
      <c r="C221" s="140" t="s">
        <v>1142</v>
      </c>
      <c r="D221" s="159" t="s">
        <v>1143</v>
      </c>
      <c r="E221" s="141" t="s">
        <v>1144</v>
      </c>
      <c r="F221" s="142" t="s">
        <v>1145</v>
      </c>
      <c r="G221" s="144" t="s">
        <v>348</v>
      </c>
    </row>
    <row r="222" spans="1:7" ht="14.5">
      <c r="A222" s="155">
        <f t="shared" si="3"/>
        <v>220</v>
      </c>
      <c r="B222" s="143">
        <v>764</v>
      </c>
      <c r="C222" s="140" t="s">
        <v>1146</v>
      </c>
      <c r="D222" s="159" t="s">
        <v>1147</v>
      </c>
      <c r="E222" s="141" t="s">
        <v>1148</v>
      </c>
      <c r="F222" s="142" t="s">
        <v>1149</v>
      </c>
      <c r="G222" s="144" t="s">
        <v>378</v>
      </c>
    </row>
    <row r="223" spans="1:7" ht="14.5">
      <c r="A223" s="155">
        <f t="shared" si="3"/>
        <v>221</v>
      </c>
      <c r="B223" s="143">
        <v>762</v>
      </c>
      <c r="C223" s="140" t="s">
        <v>1150</v>
      </c>
      <c r="D223" s="159" t="s">
        <v>1151</v>
      </c>
      <c r="E223" s="141" t="s">
        <v>1152</v>
      </c>
      <c r="F223" s="142" t="s">
        <v>1153</v>
      </c>
      <c r="G223" s="144" t="s">
        <v>738</v>
      </c>
    </row>
    <row r="224" spans="1:7" ht="14.5">
      <c r="A224" s="155">
        <f t="shared" si="3"/>
        <v>222</v>
      </c>
      <c r="B224" s="143">
        <v>772</v>
      </c>
      <c r="C224" s="140" t="s">
        <v>1154</v>
      </c>
      <c r="D224" s="159" t="s">
        <v>1155</v>
      </c>
      <c r="E224" s="141" t="s">
        <v>1156</v>
      </c>
      <c r="F224" s="142" t="s">
        <v>1157</v>
      </c>
      <c r="G224" s="144" t="s">
        <v>305</v>
      </c>
    </row>
    <row r="225" spans="1:7" ht="14.5">
      <c r="A225" s="155">
        <f t="shared" si="3"/>
        <v>223</v>
      </c>
      <c r="B225" s="143">
        <v>626</v>
      </c>
      <c r="C225" s="140" t="s">
        <v>1158</v>
      </c>
      <c r="D225" s="159" t="s">
        <v>1159</v>
      </c>
      <c r="E225" s="141" t="s">
        <v>1160</v>
      </c>
      <c r="F225" s="142" t="s">
        <v>1161</v>
      </c>
      <c r="G225" s="144" t="s">
        <v>378</v>
      </c>
    </row>
    <row r="226" spans="1:7" ht="14.5">
      <c r="A226" s="155">
        <f t="shared" si="3"/>
        <v>224</v>
      </c>
      <c r="B226" s="143">
        <v>795</v>
      </c>
      <c r="C226" s="140" t="s">
        <v>1162</v>
      </c>
      <c r="D226" s="159" t="s">
        <v>1163</v>
      </c>
      <c r="E226" s="141" t="s">
        <v>1164</v>
      </c>
      <c r="F226" s="142" t="s">
        <v>1165</v>
      </c>
      <c r="G226" s="144" t="s">
        <v>738</v>
      </c>
    </row>
    <row r="227" spans="1:7" ht="14.5">
      <c r="A227" s="155">
        <f t="shared" si="3"/>
        <v>225</v>
      </c>
      <c r="B227" s="143">
        <v>788</v>
      </c>
      <c r="C227" s="140" t="s">
        <v>1166</v>
      </c>
      <c r="D227" s="159" t="s">
        <v>1167</v>
      </c>
      <c r="E227" s="141" t="s">
        <v>1168</v>
      </c>
      <c r="F227" s="142" t="s">
        <v>1169</v>
      </c>
      <c r="G227" s="144" t="s">
        <v>520</v>
      </c>
    </row>
    <row r="228" spans="1:7" ht="14.5">
      <c r="A228" s="155">
        <f t="shared" si="3"/>
        <v>226</v>
      </c>
      <c r="B228" s="143">
        <v>776</v>
      </c>
      <c r="C228" s="140" t="s">
        <v>1170</v>
      </c>
      <c r="D228" s="159" t="s">
        <v>1171</v>
      </c>
      <c r="E228" s="141" t="s">
        <v>1172</v>
      </c>
      <c r="F228" s="142" t="s">
        <v>1173</v>
      </c>
      <c r="G228" s="144" t="s">
        <v>305</v>
      </c>
    </row>
    <row r="229" spans="1:7" ht="14.5">
      <c r="A229" s="155">
        <f t="shared" si="3"/>
        <v>227</v>
      </c>
      <c r="B229" s="143">
        <v>792</v>
      </c>
      <c r="C229" s="140" t="s">
        <v>1174</v>
      </c>
      <c r="D229" s="159" t="s">
        <v>1175</v>
      </c>
      <c r="E229" s="141" t="s">
        <v>1176</v>
      </c>
      <c r="F229" s="142" t="s">
        <v>1177</v>
      </c>
      <c r="G229" s="144" t="s">
        <v>264</v>
      </c>
    </row>
    <row r="230" spans="1:7" ht="14.5">
      <c r="A230" s="155">
        <f t="shared" si="3"/>
        <v>228</v>
      </c>
      <c r="B230" s="143">
        <v>780</v>
      </c>
      <c r="C230" s="140" t="s">
        <v>1178</v>
      </c>
      <c r="D230" s="159" t="s">
        <v>1179</v>
      </c>
      <c r="E230" s="141" t="s">
        <v>1180</v>
      </c>
      <c r="F230" s="142" t="s">
        <v>1181</v>
      </c>
      <c r="G230" s="144" t="s">
        <v>273</v>
      </c>
    </row>
    <row r="231" spans="1:7" ht="14.5">
      <c r="A231" s="155">
        <f t="shared" si="3"/>
        <v>229</v>
      </c>
      <c r="B231" s="143">
        <v>798</v>
      </c>
      <c r="C231" s="140" t="s">
        <v>1182</v>
      </c>
      <c r="D231" s="159" t="s">
        <v>1183</v>
      </c>
      <c r="E231" s="141" t="s">
        <v>1184</v>
      </c>
      <c r="F231" s="142" t="s">
        <v>1185</v>
      </c>
      <c r="G231" s="144" t="s">
        <v>305</v>
      </c>
    </row>
    <row r="232" spans="1:7" ht="29">
      <c r="A232" s="155">
        <f t="shared" si="3"/>
        <v>230</v>
      </c>
      <c r="B232" s="143">
        <v>158</v>
      </c>
      <c r="C232" s="140" t="s">
        <v>1186</v>
      </c>
      <c r="D232" s="159" t="s">
        <v>1187</v>
      </c>
      <c r="E232" s="141" t="s">
        <v>1188</v>
      </c>
      <c r="F232" s="142" t="s">
        <v>1189</v>
      </c>
      <c r="G232" s="144" t="s">
        <v>461</v>
      </c>
    </row>
    <row r="233" spans="1:7" ht="29">
      <c r="A233" s="155">
        <f t="shared" si="3"/>
        <v>231</v>
      </c>
      <c r="B233" s="143">
        <v>834</v>
      </c>
      <c r="C233" s="140" t="s">
        <v>1190</v>
      </c>
      <c r="D233" s="159" t="s">
        <v>1191</v>
      </c>
      <c r="E233" s="141" t="s">
        <v>1192</v>
      </c>
      <c r="F233" s="142" t="s">
        <v>1193</v>
      </c>
      <c r="G233" s="144" t="s">
        <v>503</v>
      </c>
    </row>
    <row r="234" spans="1:7" ht="14.5">
      <c r="A234" s="155">
        <f t="shared" si="3"/>
        <v>232</v>
      </c>
      <c r="B234" s="143">
        <v>804</v>
      </c>
      <c r="C234" s="140" t="s">
        <v>1194</v>
      </c>
      <c r="D234" s="159" t="s">
        <v>1195</v>
      </c>
      <c r="E234" s="141" t="s">
        <v>1196</v>
      </c>
      <c r="F234" s="142" t="s">
        <v>1197</v>
      </c>
      <c r="G234" s="144" t="s">
        <v>282</v>
      </c>
    </row>
    <row r="235" spans="1:7" ht="14.5">
      <c r="A235" s="155">
        <f t="shared" si="3"/>
        <v>233</v>
      </c>
      <c r="B235" s="143">
        <v>800</v>
      </c>
      <c r="C235" s="140" t="s">
        <v>1198</v>
      </c>
      <c r="D235" s="159" t="s">
        <v>1199</v>
      </c>
      <c r="E235" s="141" t="s">
        <v>1200</v>
      </c>
      <c r="F235" s="142" t="s">
        <v>1201</v>
      </c>
      <c r="G235" s="144" t="s">
        <v>361</v>
      </c>
    </row>
    <row r="236" spans="1:7" ht="29">
      <c r="A236" s="155">
        <f t="shared" si="3"/>
        <v>234</v>
      </c>
      <c r="B236" s="143">
        <v>581</v>
      </c>
      <c r="C236" s="140" t="s">
        <v>1202</v>
      </c>
      <c r="D236" s="159" t="s">
        <v>1203</v>
      </c>
      <c r="E236" s="141" t="s">
        <v>1204</v>
      </c>
      <c r="F236" s="142" t="s">
        <v>1205</v>
      </c>
      <c r="G236" s="144" t="s">
        <v>305</v>
      </c>
    </row>
    <row r="237" spans="1:7" ht="14.5">
      <c r="A237" s="155">
        <f t="shared" si="3"/>
        <v>235</v>
      </c>
      <c r="B237" s="143">
        <v>840</v>
      </c>
      <c r="C237" s="140" t="s">
        <v>1206</v>
      </c>
      <c r="D237" s="159" t="s">
        <v>1207</v>
      </c>
      <c r="E237" s="141" t="s">
        <v>1208</v>
      </c>
      <c r="F237" s="142" t="s">
        <v>1209</v>
      </c>
      <c r="G237" s="144" t="s">
        <v>419</v>
      </c>
    </row>
    <row r="238" spans="1:7" ht="14.5">
      <c r="A238" s="155">
        <f t="shared" si="3"/>
        <v>236</v>
      </c>
      <c r="B238" s="143">
        <v>858</v>
      </c>
      <c r="C238" s="140" t="s">
        <v>1210</v>
      </c>
      <c r="D238" s="159" t="s">
        <v>1211</v>
      </c>
      <c r="E238" s="141" t="s">
        <v>1212</v>
      </c>
      <c r="F238" s="142" t="s">
        <v>1213</v>
      </c>
      <c r="G238" s="144" t="s">
        <v>300</v>
      </c>
    </row>
    <row r="239" spans="1:7" ht="14.5">
      <c r="A239" s="155">
        <f t="shared" si="3"/>
        <v>237</v>
      </c>
      <c r="B239" s="143">
        <v>860</v>
      </c>
      <c r="C239" s="140" t="s">
        <v>1214</v>
      </c>
      <c r="D239" s="159" t="s">
        <v>1215</v>
      </c>
      <c r="E239" s="141" t="s">
        <v>1216</v>
      </c>
      <c r="F239" s="142" t="s">
        <v>1217</v>
      </c>
      <c r="G239" s="144" t="s">
        <v>738</v>
      </c>
    </row>
    <row r="240" spans="1:7" ht="29">
      <c r="A240" s="155">
        <f t="shared" si="3"/>
        <v>238</v>
      </c>
      <c r="B240" s="143">
        <v>336</v>
      </c>
      <c r="C240" s="140" t="s">
        <v>1218</v>
      </c>
      <c r="D240" s="159" t="s">
        <v>1219</v>
      </c>
      <c r="E240" s="141" t="s">
        <v>1220</v>
      </c>
      <c r="F240" s="142" t="s">
        <v>1221</v>
      </c>
      <c r="G240" s="144" t="s">
        <v>259</v>
      </c>
    </row>
    <row r="241" spans="1:7">
      <c r="A241" s="155">
        <f t="shared" si="3"/>
        <v>239</v>
      </c>
      <c r="B241" s="150">
        <v>670</v>
      </c>
      <c r="C241" s="151" t="s">
        <v>1222</v>
      </c>
      <c r="D241" s="160" t="s">
        <v>1223</v>
      </c>
      <c r="E241" s="141" t="s">
        <v>1224</v>
      </c>
      <c r="F241" s="152" t="s">
        <v>1226</v>
      </c>
      <c r="G241" s="153" t="s">
        <v>273</v>
      </c>
    </row>
    <row r="242" spans="1:7">
      <c r="A242" s="155">
        <f t="shared" si="3"/>
        <v>240</v>
      </c>
      <c r="B242" s="150"/>
      <c r="C242" s="151"/>
      <c r="D242" s="160"/>
      <c r="E242" s="141" t="s">
        <v>1225</v>
      </c>
      <c r="F242" s="152"/>
      <c r="G242" s="153"/>
    </row>
    <row r="243" spans="1:7" ht="29">
      <c r="A243" s="155">
        <f t="shared" si="3"/>
        <v>241</v>
      </c>
      <c r="B243" s="143">
        <v>862</v>
      </c>
      <c r="C243" s="140" t="s">
        <v>1227</v>
      </c>
      <c r="D243" s="159" t="s">
        <v>1228</v>
      </c>
      <c r="E243" s="141" t="s">
        <v>1229</v>
      </c>
      <c r="F243" s="142" t="s">
        <v>1230</v>
      </c>
      <c r="G243" s="144" t="s">
        <v>300</v>
      </c>
    </row>
    <row r="244" spans="1:7" ht="14.5">
      <c r="A244" s="155">
        <f t="shared" si="3"/>
        <v>242</v>
      </c>
      <c r="B244" s="143">
        <v>92</v>
      </c>
      <c r="C244" s="140" t="s">
        <v>1231</v>
      </c>
      <c r="D244" s="159" t="s">
        <v>1232</v>
      </c>
      <c r="E244" s="141" t="s">
        <v>1233</v>
      </c>
      <c r="F244" s="142" t="s">
        <v>1234</v>
      </c>
      <c r="G244" s="144" t="s">
        <v>273</v>
      </c>
    </row>
    <row r="245" spans="1:7" ht="14.5">
      <c r="A245" s="155">
        <f t="shared" si="3"/>
        <v>243</v>
      </c>
      <c r="B245" s="143">
        <v>850</v>
      </c>
      <c r="C245" s="140" t="s">
        <v>1235</v>
      </c>
      <c r="D245" s="159" t="s">
        <v>1236</v>
      </c>
      <c r="E245" s="141" t="s">
        <v>1237</v>
      </c>
      <c r="F245" s="142" t="s">
        <v>1238</v>
      </c>
      <c r="G245" s="144" t="s">
        <v>273</v>
      </c>
    </row>
    <row r="246" spans="1:7" ht="14.5">
      <c r="A246" s="155">
        <f t="shared" si="3"/>
        <v>244</v>
      </c>
      <c r="B246" s="143">
        <v>704</v>
      </c>
      <c r="C246" s="140" t="s">
        <v>1239</v>
      </c>
      <c r="D246" s="159" t="s">
        <v>1240</v>
      </c>
      <c r="E246" s="141" t="s">
        <v>1241</v>
      </c>
      <c r="F246" s="142" t="s">
        <v>1242</v>
      </c>
      <c r="G246" s="144" t="s">
        <v>378</v>
      </c>
    </row>
    <row r="247" spans="1:7" ht="14.5">
      <c r="A247" s="155">
        <f t="shared" si="3"/>
        <v>245</v>
      </c>
      <c r="B247" s="143">
        <v>548</v>
      </c>
      <c r="C247" s="140" t="s">
        <v>1243</v>
      </c>
      <c r="D247" s="159" t="s">
        <v>1244</v>
      </c>
      <c r="E247" s="141" t="s">
        <v>1245</v>
      </c>
      <c r="F247" s="142" t="s">
        <v>1246</v>
      </c>
      <c r="G247" s="144" t="s">
        <v>305</v>
      </c>
    </row>
    <row r="248" spans="1:7" ht="14.5">
      <c r="A248" s="155">
        <f t="shared" si="3"/>
        <v>246</v>
      </c>
      <c r="B248" s="143">
        <v>876</v>
      </c>
      <c r="C248" s="140" t="s">
        <v>1247</v>
      </c>
      <c r="D248" s="159" t="s">
        <v>1248</v>
      </c>
      <c r="E248" s="141" t="s">
        <v>1249</v>
      </c>
      <c r="F248" s="142" t="s">
        <v>1250</v>
      </c>
      <c r="G248" s="144" t="s">
        <v>305</v>
      </c>
    </row>
    <row r="249" spans="1:7" ht="14.5">
      <c r="A249" s="155">
        <f t="shared" si="3"/>
        <v>247</v>
      </c>
      <c r="B249" s="143">
        <v>882</v>
      </c>
      <c r="C249" s="140" t="s">
        <v>1251</v>
      </c>
      <c r="D249" s="159" t="s">
        <v>1252</v>
      </c>
      <c r="E249" s="141" t="s">
        <v>1253</v>
      </c>
      <c r="F249" s="142" t="s">
        <v>1254</v>
      </c>
      <c r="G249" s="144" t="s">
        <v>305</v>
      </c>
    </row>
    <row r="250" spans="1:7" ht="14.5">
      <c r="A250" s="155">
        <f t="shared" si="3"/>
        <v>248</v>
      </c>
      <c r="B250" s="143">
        <v>887</v>
      </c>
      <c r="C250" s="140" t="s">
        <v>1255</v>
      </c>
      <c r="D250" s="159" t="s">
        <v>1256</v>
      </c>
      <c r="E250" s="141" t="s">
        <v>1257</v>
      </c>
      <c r="F250" s="142" t="s">
        <v>1258</v>
      </c>
      <c r="G250" s="144" t="s">
        <v>264</v>
      </c>
    </row>
    <row r="251" spans="1:7" ht="14.5">
      <c r="A251" s="155">
        <f t="shared" si="3"/>
        <v>249</v>
      </c>
      <c r="B251" s="143">
        <v>175</v>
      </c>
      <c r="C251" s="140" t="s">
        <v>1259</v>
      </c>
      <c r="D251" s="159" t="s">
        <v>1260</v>
      </c>
      <c r="E251" s="141" t="s">
        <v>1261</v>
      </c>
      <c r="F251" s="142" t="s">
        <v>1262</v>
      </c>
      <c r="G251" s="144" t="s">
        <v>424</v>
      </c>
    </row>
    <row r="252" spans="1:7" ht="14.5">
      <c r="A252" s="155">
        <f t="shared" si="3"/>
        <v>250</v>
      </c>
      <c r="B252" s="143">
        <v>710</v>
      </c>
      <c r="C252" s="140" t="s">
        <v>1263</v>
      </c>
      <c r="D252" s="159" t="s">
        <v>1264</v>
      </c>
      <c r="E252" s="141" t="s">
        <v>291</v>
      </c>
      <c r="F252" s="142" t="s">
        <v>1265</v>
      </c>
      <c r="G252" s="144" t="s">
        <v>291</v>
      </c>
    </row>
    <row r="253" spans="1:7" ht="14.5">
      <c r="A253" s="155">
        <f t="shared" si="3"/>
        <v>251</v>
      </c>
      <c r="B253" s="143">
        <v>894</v>
      </c>
      <c r="C253" s="140" t="s">
        <v>1266</v>
      </c>
      <c r="D253" s="159" t="s">
        <v>1267</v>
      </c>
      <c r="E253" s="141" t="s">
        <v>1268</v>
      </c>
      <c r="F253" s="142" t="s">
        <v>1269</v>
      </c>
      <c r="G253" s="144" t="s">
        <v>291</v>
      </c>
    </row>
    <row r="254" spans="1:7" ht="15" thickBot="1">
      <c r="A254" s="155">
        <f t="shared" si="3"/>
        <v>252</v>
      </c>
      <c r="B254" s="145">
        <v>716</v>
      </c>
      <c r="C254" s="146" t="s">
        <v>1270</v>
      </c>
      <c r="D254" s="161" t="s">
        <v>1271</v>
      </c>
      <c r="E254" s="147" t="s">
        <v>1272</v>
      </c>
      <c r="F254" s="148" t="s">
        <v>1273</v>
      </c>
      <c r="G254" s="149" t="s">
        <v>291</v>
      </c>
    </row>
  </sheetData>
  <mergeCells count="15">
    <mergeCell ref="B241:B242"/>
    <mergeCell ref="C241:C242"/>
    <mergeCell ref="D241:D242"/>
    <mergeCell ref="F241:F242"/>
    <mergeCell ref="G241:G242"/>
    <mergeCell ref="B92:B93"/>
    <mergeCell ref="C92:C93"/>
    <mergeCell ref="D92:D93"/>
    <mergeCell ref="F92:F93"/>
    <mergeCell ref="G92:G93"/>
    <mergeCell ref="B202:B203"/>
    <mergeCell ref="C202:C203"/>
    <mergeCell ref="D202:D203"/>
    <mergeCell ref="F202:F203"/>
    <mergeCell ref="G202:G203"/>
  </mergeCells>
  <phoneticPr fontId="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598-C6BE-4868-88A2-EB661CD824FD}">
  <dimension ref="C2:H31"/>
  <sheetViews>
    <sheetView tabSelected="1" workbookViewId="0">
      <selection activeCell="B15" sqref="B15"/>
    </sheetView>
  </sheetViews>
  <sheetFormatPr defaultRowHeight="14"/>
  <cols>
    <col min="1" max="3" width="8.7265625" style="5"/>
    <col min="4" max="8" width="30.453125" style="5" customWidth="1"/>
    <col min="9" max="16384" width="8.7265625" style="5"/>
  </cols>
  <sheetData>
    <row r="2" spans="3:8" s="36" customFormat="1">
      <c r="E2" s="36" t="s">
        <v>202</v>
      </c>
    </row>
    <row r="3" spans="3:8">
      <c r="C3" s="5" t="s">
        <v>124</v>
      </c>
      <c r="H3" s="35">
        <v>45778</v>
      </c>
    </row>
    <row r="4" spans="3:8">
      <c r="C4" s="5" t="s">
        <v>125</v>
      </c>
    </row>
    <row r="5" spans="3:8" ht="14.5" thickBot="1"/>
    <row r="6" spans="3:8">
      <c r="C6" s="6" t="s">
        <v>126</v>
      </c>
      <c r="D6" s="7" t="s">
        <v>127</v>
      </c>
      <c r="E6" s="8" t="s">
        <v>128</v>
      </c>
      <c r="F6" s="7" t="s">
        <v>130</v>
      </c>
      <c r="G6" s="8" t="s">
        <v>131</v>
      </c>
      <c r="H6" s="9" t="s">
        <v>133</v>
      </c>
    </row>
    <row r="7" spans="3:8" ht="14.5" thickBot="1">
      <c r="C7" s="10"/>
      <c r="D7" s="11"/>
      <c r="E7" s="12" t="s">
        <v>129</v>
      </c>
      <c r="F7" s="11"/>
      <c r="G7" s="12" t="s">
        <v>132</v>
      </c>
      <c r="H7" s="13"/>
    </row>
    <row r="8" spans="3:8">
      <c r="C8" s="14" t="s">
        <v>134</v>
      </c>
      <c r="D8" s="15" t="s">
        <v>135</v>
      </c>
      <c r="E8" s="16" t="s">
        <v>136</v>
      </c>
      <c r="F8" s="15" t="s">
        <v>138</v>
      </c>
      <c r="G8" s="16" t="s">
        <v>139</v>
      </c>
      <c r="H8" s="15" t="s">
        <v>141</v>
      </c>
    </row>
    <row r="9" spans="3:8" ht="14.5" thickBot="1">
      <c r="C9" s="17"/>
      <c r="D9" s="18"/>
      <c r="E9" s="19" t="s">
        <v>137</v>
      </c>
      <c r="F9" s="18"/>
      <c r="G9" s="19" t="s">
        <v>140</v>
      </c>
      <c r="H9" s="18"/>
    </row>
    <row r="10" spans="3:8" ht="28.5" thickBot="1">
      <c r="C10" s="20" t="s">
        <v>142</v>
      </c>
      <c r="D10" s="21" t="e" vm="1">
        <v>#VALUE!</v>
      </c>
      <c r="E10" s="21" t="e" vm="2">
        <v>#VALUE!</v>
      </c>
      <c r="F10" s="21" t="e" vm="3">
        <v>#VALUE!</v>
      </c>
      <c r="G10" s="21" t="e" vm="4">
        <v>#VALUE!</v>
      </c>
      <c r="H10" s="21" t="e" vm="5">
        <v>#VALUE!</v>
      </c>
    </row>
    <row r="11" spans="3:8">
      <c r="C11" s="22" t="s">
        <v>143</v>
      </c>
      <c r="D11" s="23" t="s">
        <v>145</v>
      </c>
      <c r="E11" s="23" t="s">
        <v>145</v>
      </c>
      <c r="F11" s="24" t="s">
        <v>146</v>
      </c>
      <c r="G11" s="24" t="s">
        <v>146</v>
      </c>
      <c r="H11" s="24" t="s">
        <v>153</v>
      </c>
    </row>
    <row r="12" spans="3:8">
      <c r="C12" s="25" t="s">
        <v>144</v>
      </c>
      <c r="D12" s="26"/>
      <c r="E12" s="26"/>
      <c r="F12" s="27" t="s">
        <v>147</v>
      </c>
      <c r="G12" s="27" t="s">
        <v>151</v>
      </c>
      <c r="H12" s="27" t="s">
        <v>154</v>
      </c>
    </row>
    <row r="13" spans="3:8" ht="28">
      <c r="C13" s="25"/>
      <c r="D13" s="26"/>
      <c r="E13" s="26"/>
      <c r="F13" s="27" t="s">
        <v>148</v>
      </c>
      <c r="G13" s="27" t="s">
        <v>149</v>
      </c>
      <c r="H13" s="27" t="s">
        <v>155</v>
      </c>
    </row>
    <row r="14" spans="3:8">
      <c r="C14" s="25"/>
      <c r="D14" s="26"/>
      <c r="E14" s="26"/>
      <c r="F14" s="27" t="s">
        <v>149</v>
      </c>
      <c r="G14" s="27" t="s">
        <v>152</v>
      </c>
      <c r="H14" s="27" t="s">
        <v>156</v>
      </c>
    </row>
    <row r="15" spans="3:8" ht="28">
      <c r="C15" s="25"/>
      <c r="D15" s="26"/>
      <c r="E15" s="26"/>
      <c r="F15" s="27" t="s">
        <v>150</v>
      </c>
      <c r="G15" s="28"/>
      <c r="H15" s="27" t="s">
        <v>157</v>
      </c>
    </row>
    <row r="16" spans="3:8" ht="14.5" thickBot="1">
      <c r="C16" s="29"/>
      <c r="D16" s="30"/>
      <c r="E16" s="30"/>
      <c r="F16" s="31"/>
      <c r="G16" s="31"/>
      <c r="H16" s="31"/>
    </row>
    <row r="17" spans="3:8" ht="70">
      <c r="C17" s="32" t="s">
        <v>158</v>
      </c>
      <c r="D17" s="24" t="s">
        <v>159</v>
      </c>
      <c r="E17" s="23" t="s">
        <v>161</v>
      </c>
      <c r="F17" s="23" t="s">
        <v>162</v>
      </c>
      <c r="G17" s="23" t="s">
        <v>163</v>
      </c>
      <c r="H17" s="24" t="s">
        <v>164</v>
      </c>
    </row>
    <row r="18" spans="3:8" ht="42">
      <c r="C18" s="33"/>
      <c r="D18" s="27" t="s">
        <v>160</v>
      </c>
      <c r="E18" s="26"/>
      <c r="F18" s="26"/>
      <c r="G18" s="26"/>
      <c r="H18" s="27" t="s">
        <v>165</v>
      </c>
    </row>
    <row r="19" spans="3:8" ht="14.5" thickBot="1">
      <c r="C19" s="34"/>
      <c r="D19" s="31"/>
      <c r="E19" s="30"/>
      <c r="F19" s="30"/>
      <c r="G19" s="30"/>
      <c r="H19" s="31"/>
    </row>
    <row r="20" spans="3:8" ht="28">
      <c r="C20" s="22" t="s">
        <v>166</v>
      </c>
      <c r="D20" s="23" t="s">
        <v>168</v>
      </c>
      <c r="E20" s="23" t="s">
        <v>169</v>
      </c>
      <c r="F20" s="23" t="s">
        <v>170</v>
      </c>
      <c r="G20" s="23" t="s">
        <v>170</v>
      </c>
      <c r="H20" s="23" t="s">
        <v>170</v>
      </c>
    </row>
    <row r="21" spans="3:8" ht="14.5" thickBot="1">
      <c r="C21" s="29" t="s">
        <v>167</v>
      </c>
      <c r="D21" s="30"/>
      <c r="E21" s="30"/>
      <c r="F21" s="30"/>
      <c r="G21" s="30"/>
      <c r="H21" s="30"/>
    </row>
    <row r="22" spans="3:8" ht="28">
      <c r="C22" s="22" t="s">
        <v>171</v>
      </c>
      <c r="D22" s="24" t="s">
        <v>173</v>
      </c>
      <c r="E22" s="24" t="s">
        <v>176</v>
      </c>
      <c r="F22" s="24" t="s">
        <v>176</v>
      </c>
      <c r="G22" s="24" t="s">
        <v>176</v>
      </c>
      <c r="H22" s="24" t="s">
        <v>173</v>
      </c>
    </row>
    <row r="23" spans="3:8" ht="42">
      <c r="C23" s="25" t="s">
        <v>172</v>
      </c>
      <c r="D23" s="27" t="s">
        <v>174</v>
      </c>
      <c r="E23" s="27" t="s">
        <v>174</v>
      </c>
      <c r="F23" s="27" t="s">
        <v>178</v>
      </c>
      <c r="G23" s="27" t="s">
        <v>180</v>
      </c>
      <c r="H23" s="27" t="s">
        <v>182</v>
      </c>
    </row>
    <row r="24" spans="3:8" ht="28">
      <c r="C24" s="25"/>
      <c r="D24" s="27" t="s">
        <v>175</v>
      </c>
      <c r="E24" s="27" t="s">
        <v>177</v>
      </c>
      <c r="F24" s="27" t="s">
        <v>179</v>
      </c>
      <c r="G24" s="27" t="s">
        <v>181</v>
      </c>
      <c r="H24" s="27" t="s">
        <v>183</v>
      </c>
    </row>
    <row r="25" spans="3:8" ht="14.5" thickBot="1">
      <c r="C25" s="29"/>
      <c r="D25" s="31"/>
      <c r="E25" s="31"/>
      <c r="F25" s="31"/>
      <c r="G25" s="31"/>
      <c r="H25" s="31"/>
    </row>
    <row r="26" spans="3:8" ht="28">
      <c r="C26" s="22" t="s">
        <v>184</v>
      </c>
      <c r="D26" s="24" t="s">
        <v>186</v>
      </c>
      <c r="E26" s="23" t="s">
        <v>191</v>
      </c>
      <c r="F26" s="24" t="s">
        <v>192</v>
      </c>
      <c r="G26" s="24" t="s">
        <v>195</v>
      </c>
      <c r="H26" s="24" t="s">
        <v>198</v>
      </c>
    </row>
    <row r="27" spans="3:8" ht="28">
      <c r="C27" s="25" t="s">
        <v>185</v>
      </c>
      <c r="D27" s="27" t="s">
        <v>187</v>
      </c>
      <c r="E27" s="26"/>
      <c r="F27" s="27" t="s">
        <v>193</v>
      </c>
      <c r="G27" s="27" t="s">
        <v>196</v>
      </c>
      <c r="H27" s="27" t="s">
        <v>199</v>
      </c>
    </row>
    <row r="28" spans="3:8" ht="28">
      <c r="C28" s="25"/>
      <c r="D28" s="27" t="s">
        <v>188</v>
      </c>
      <c r="E28" s="26"/>
      <c r="F28" s="27" t="s">
        <v>194</v>
      </c>
      <c r="G28" s="27" t="s">
        <v>197</v>
      </c>
      <c r="H28" s="27" t="s">
        <v>200</v>
      </c>
    </row>
    <row r="29" spans="3:8">
      <c r="C29" s="25"/>
      <c r="D29" s="27" t="s">
        <v>189</v>
      </c>
      <c r="E29" s="26"/>
      <c r="F29" s="28"/>
      <c r="G29" s="28"/>
      <c r="H29" s="27" t="s">
        <v>201</v>
      </c>
    </row>
    <row r="30" spans="3:8">
      <c r="C30" s="25"/>
      <c r="D30" s="27" t="s">
        <v>190</v>
      </c>
      <c r="E30" s="26"/>
      <c r="F30" s="28"/>
      <c r="G30" s="28"/>
      <c r="H30" s="28"/>
    </row>
    <row r="31" spans="3:8" ht="14.5" thickBot="1">
      <c r="C31" s="29"/>
      <c r="D31" s="31"/>
      <c r="E31" s="30"/>
      <c r="F31" s="31"/>
      <c r="G31" s="31"/>
      <c r="H31" s="31"/>
    </row>
  </sheetData>
  <mergeCells count="20">
    <mergeCell ref="D20:D21"/>
    <mergeCell ref="E20:E21"/>
    <mergeCell ref="F20:F21"/>
    <mergeCell ref="G20:G21"/>
    <mergeCell ref="H20:H21"/>
    <mergeCell ref="E26:E31"/>
    <mergeCell ref="D11:D16"/>
    <mergeCell ref="E11:E16"/>
    <mergeCell ref="C17:C19"/>
    <mergeCell ref="E17:E19"/>
    <mergeCell ref="F17:F19"/>
    <mergeCell ref="G17:G19"/>
    <mergeCell ref="C6:C7"/>
    <mergeCell ref="D6:D7"/>
    <mergeCell ref="F6:F7"/>
    <mergeCell ref="H6:H7"/>
    <mergeCell ref="C8:C9"/>
    <mergeCell ref="D8:D9"/>
    <mergeCell ref="F8:F9"/>
    <mergeCell ref="H8:H9"/>
  </mergeCells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ColWidth="9" defaultRowHeight="12"/>
  <cols>
    <col min="1" max="3" width="9" style="1"/>
    <col min="4" max="4" width="7.453125" style="1" bestFit="1" customWidth="1"/>
    <col min="5" max="5" width="13.90625" style="1" bestFit="1" customWidth="1"/>
    <col min="6" max="6" width="6" style="1" bestFit="1" customWidth="1"/>
    <col min="7" max="7" width="9" style="1"/>
    <col min="8" max="8" width="19.81640625" style="1" bestFit="1" customWidth="1"/>
    <col min="9" max="9" width="7.453125" style="1" bestFit="1" customWidth="1"/>
    <col min="10" max="10" width="16.36328125" style="1" bestFit="1" customWidth="1"/>
    <col min="11" max="11" width="9" style="1"/>
    <col min="12" max="12" width="7.453125" style="1" bestFit="1" customWidth="1"/>
    <col min="13" max="16384" width="9" style="1"/>
  </cols>
  <sheetData>
    <row r="1" spans="1:2">
      <c r="A1" s="2" t="s">
        <v>0</v>
      </c>
      <c r="B1" s="2" t="s">
        <v>1</v>
      </c>
    </row>
    <row r="2" spans="1:2">
      <c r="A2" s="3">
        <v>42010</v>
      </c>
      <c r="B2" s="4">
        <v>100</v>
      </c>
    </row>
  </sheetData>
  <phoneticPr fontId="2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商品マスタ</vt:lpstr>
      <vt:lpstr>国コード</vt:lpstr>
      <vt:lpstr>バーコード</vt:lpstr>
      <vt:lpstr>Sheet1</vt:lpstr>
    </vt:vector>
  </TitlesOfParts>
  <Company>ヤマトシステム開発(株)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20111107</dc:creator>
  <cp:lastModifiedBy>a70129</cp:lastModifiedBy>
  <cp:lastPrinted>2025-02-15T03:22:16Z</cp:lastPrinted>
  <dcterms:created xsi:type="dcterms:W3CDTF">1999-03-29T04:23:11Z</dcterms:created>
  <dcterms:modified xsi:type="dcterms:W3CDTF">2025-06-01T10:32:58Z</dcterms:modified>
</cp:coreProperties>
</file>